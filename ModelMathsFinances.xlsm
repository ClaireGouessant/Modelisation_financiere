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filterPrivacy="1" codeName="ThisWorkbook"/>
  <bookViews>
    <workbookView xWindow="0" yWindow="0" windowWidth="22260" windowHeight="12645"/>
  </bookViews>
  <sheets>
    <sheet name="22Sept" sheetId="3" r:id="rId1"/>
    <sheet name="Test1" sheetId="2" r:id="rId2"/>
    <sheet name="Test2" sheetId="1" r:id="rId3"/>
    <sheet name="DE" sheetId="5" r:id="rId4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3" i="3" l="1"/>
  <c r="K3" i="5" l="1"/>
  <c r="K4" i="5"/>
  <c r="C11" i="5"/>
  <c r="H18" i="5"/>
  <c r="H12" i="5"/>
  <c r="H16" i="5"/>
  <c r="H14" i="5"/>
  <c r="J13" i="5"/>
  <c r="J14" i="5"/>
  <c r="J18" i="5"/>
  <c r="H13" i="5"/>
  <c r="J12" i="5"/>
  <c r="K12" i="5" s="1"/>
  <c r="J16" i="5"/>
  <c r="D28" i="5"/>
  <c r="D35" i="5" l="1"/>
  <c r="E34" i="5" s="1"/>
  <c r="D29" i="5"/>
  <c r="D37" i="5" s="1"/>
  <c r="C15" i="5"/>
  <c r="C14" i="5"/>
  <c r="C12" i="5"/>
  <c r="K18" i="5"/>
  <c r="K14" i="5"/>
  <c r="K13" i="5"/>
  <c r="C13" i="5"/>
  <c r="K16" i="5"/>
  <c r="H22" i="5"/>
  <c r="J22" i="5"/>
  <c r="H21" i="5"/>
  <c r="J21" i="5"/>
  <c r="J19" i="5"/>
  <c r="H19" i="5"/>
  <c r="H20" i="5"/>
  <c r="J20" i="5"/>
  <c r="F33" i="5" l="1"/>
  <c r="G32" i="5" s="1"/>
  <c r="H31" i="5" s="1"/>
  <c r="I30" i="5" s="1"/>
  <c r="J29" i="5" s="1"/>
  <c r="K28" i="5" s="1"/>
  <c r="L27" i="5" s="1"/>
  <c r="M26" i="5" s="1"/>
  <c r="E36" i="5"/>
  <c r="F35" i="5" s="1"/>
  <c r="G34" i="5" s="1"/>
  <c r="H33" i="5" s="1"/>
  <c r="I32" i="5" s="1"/>
  <c r="J31" i="5" s="1"/>
  <c r="K30" i="5" s="1"/>
  <c r="L29" i="5" s="1"/>
  <c r="M28" i="5" s="1"/>
  <c r="E38" i="5"/>
  <c r="F39" i="5" s="1"/>
  <c r="G40" i="5" s="1"/>
  <c r="H41" i="5" s="1"/>
  <c r="D82" i="3"/>
  <c r="D81" i="3"/>
  <c r="D124" i="3"/>
  <c r="H113" i="3"/>
  <c r="G113" i="3"/>
  <c r="I60" i="3"/>
  <c r="C4" i="3"/>
  <c r="H19" i="3"/>
  <c r="H20" i="3"/>
  <c r="J7" i="2"/>
  <c r="M6" i="2" s="1"/>
  <c r="J14" i="2"/>
  <c r="J15" i="2"/>
  <c r="J27" i="2"/>
  <c r="J35" i="2"/>
  <c r="J37" i="2"/>
  <c r="K22" i="5"/>
  <c r="D47" i="3"/>
  <c r="D64" i="3"/>
  <c r="K20" i="5"/>
  <c r="H24" i="3"/>
  <c r="K19" i="5"/>
  <c r="H23" i="3"/>
  <c r="K21" i="5"/>
  <c r="I40" i="5" l="1"/>
  <c r="J39" i="5" s="1"/>
  <c r="K38" i="5" s="1"/>
  <c r="L37" i="5" s="1"/>
  <c r="M36" i="5" s="1"/>
  <c r="I42" i="5"/>
  <c r="M5" i="2"/>
  <c r="J18" i="2" s="1"/>
  <c r="J21" i="2" s="1"/>
  <c r="B101" i="3"/>
  <c r="G74" i="3"/>
  <c r="C74" i="3"/>
  <c r="G73" i="3" s="1"/>
  <c r="D30" i="3"/>
  <c r="J41" i="5" l="1"/>
  <c r="K40" i="5" s="1"/>
  <c r="L39" i="5" s="1"/>
  <c r="M38" i="5" s="1"/>
  <c r="J43" i="5"/>
  <c r="G38" i="5"/>
  <c r="H37" i="5" s="1"/>
  <c r="I36" i="5" s="1"/>
  <c r="J35" i="5" s="1"/>
  <c r="K34" i="5" s="1"/>
  <c r="L33" i="5" s="1"/>
  <c r="M32" i="5" s="1"/>
  <c r="F37" i="5"/>
  <c r="G36" i="5" s="1"/>
  <c r="H35" i="5" s="1"/>
  <c r="I34" i="5" s="1"/>
  <c r="J33" i="5" s="1"/>
  <c r="K32" i="5" s="1"/>
  <c r="L31" i="5" s="1"/>
  <c r="M30" i="5" s="1"/>
  <c r="H39" i="5"/>
  <c r="I38" i="5" s="1"/>
  <c r="J37" i="5" s="1"/>
  <c r="K36" i="5" s="1"/>
  <c r="L35" i="5" s="1"/>
  <c r="M34" i="5" s="1"/>
  <c r="O20" i="2"/>
  <c r="J39" i="2"/>
  <c r="J41" i="2" s="1"/>
  <c r="O41" i="2" s="1"/>
  <c r="J17" i="2"/>
  <c r="J20" i="2" s="1"/>
  <c r="J29" i="2"/>
  <c r="J31" i="2" s="1"/>
  <c r="O31" i="2" s="1"/>
  <c r="C80" i="3"/>
  <c r="C82" i="3" s="1"/>
  <c r="C102" i="3" s="1"/>
  <c r="D103" i="3" s="1"/>
  <c r="E104" i="3" s="1"/>
  <c r="C84" i="3"/>
  <c r="C79" i="3"/>
  <c r="C81" i="3" s="1"/>
  <c r="C100" i="3" s="1"/>
  <c r="D99" i="3" s="1"/>
  <c r="E98" i="3" s="1"/>
  <c r="C77" i="3"/>
  <c r="K44" i="5" l="1"/>
  <c r="K42" i="5"/>
  <c r="L41" i="5" s="1"/>
  <c r="M40" i="5" s="1"/>
  <c r="C85" i="3"/>
  <c r="C86" i="3"/>
  <c r="D101" i="3"/>
  <c r="E100" i="3" s="1"/>
  <c r="F97" i="3"/>
  <c r="F99" i="3"/>
  <c r="G100" i="3" s="1"/>
  <c r="C115" i="3" s="1"/>
  <c r="F105" i="3"/>
  <c r="F103" i="3"/>
  <c r="L45" i="5" l="1"/>
  <c r="L43" i="5"/>
  <c r="M42" i="5" s="1"/>
  <c r="E102" i="3"/>
  <c r="F101" i="3" s="1"/>
  <c r="G102" i="3" s="1"/>
  <c r="C116" i="3" s="1"/>
  <c r="C87" i="3"/>
  <c r="C88" i="3" s="1"/>
  <c r="G106" i="3"/>
  <c r="C118" i="3" s="1"/>
  <c r="G104" i="3"/>
  <c r="C117" i="3" s="1"/>
  <c r="G98" i="3"/>
  <c r="C114" i="3" s="1"/>
  <c r="G96" i="3"/>
  <c r="C113" i="3" s="1"/>
  <c r="M46" i="5" l="1"/>
  <c r="M44" i="5"/>
  <c r="D117" i="3"/>
  <c r="D116" i="3"/>
  <c r="E116" i="3" s="1"/>
  <c r="D115" i="3"/>
  <c r="E115" i="3" s="1"/>
  <c r="D118" i="3"/>
  <c r="E118" i="3" s="1"/>
  <c r="D113" i="3"/>
  <c r="E113" i="3" s="1"/>
  <c r="D114" i="3"/>
  <c r="E114" i="3" s="1"/>
  <c r="E117" i="3"/>
  <c r="D120" i="3" l="1"/>
  <c r="D121" i="3"/>
  <c r="F118" i="3" s="1"/>
  <c r="F115" i="3" l="1"/>
  <c r="G116" i="3"/>
  <c r="H116" i="3"/>
  <c r="H115" i="3"/>
  <c r="F116" i="3"/>
  <c r="G114" i="3"/>
  <c r="H118" i="3"/>
  <c r="H117" i="3"/>
  <c r="G118" i="3"/>
  <c r="F113" i="3"/>
  <c r="H114" i="3"/>
  <c r="G117" i="3"/>
  <c r="F117" i="3"/>
  <c r="G115" i="3"/>
  <c r="F114" i="3"/>
  <c r="K34" i="1"/>
  <c r="J25" i="1"/>
  <c r="D36" i="1"/>
  <c r="D37" i="1"/>
  <c r="D38" i="1"/>
  <c r="D39" i="1"/>
  <c r="D35" i="1"/>
  <c r="D122" i="3" l="1"/>
  <c r="D123" i="3" s="1"/>
  <c r="H120" i="3"/>
  <c r="D125" i="3" s="1"/>
  <c r="G120" i="3"/>
  <c r="C11" i="1"/>
  <c r="C10" i="1"/>
  <c r="C9" i="1"/>
  <c r="C8" i="1"/>
  <c r="C7" i="1"/>
  <c r="F16" i="1"/>
  <c r="J27" i="1"/>
  <c r="J35" i="1"/>
  <c r="J36" i="1" s="1"/>
  <c r="F13" i="1"/>
  <c r="I13" i="1" s="1"/>
  <c r="M35" i="1"/>
  <c r="F15" i="1"/>
  <c r="J28" i="1"/>
  <c r="F12" i="1"/>
  <c r="I16" i="1"/>
  <c r="F14" i="1"/>
  <c r="J26" i="1"/>
  <c r="K36" i="1" l="1"/>
  <c r="K35" i="1"/>
  <c r="N35" i="1"/>
  <c r="N26" i="1"/>
  <c r="J13" i="1"/>
  <c r="J16" i="1"/>
  <c r="G12" i="1"/>
  <c r="G13" i="1"/>
  <c r="G16" i="1"/>
  <c r="G14" i="1"/>
  <c r="G15" i="1"/>
  <c r="M36" i="1"/>
  <c r="I14" i="1"/>
  <c r="N28" i="1"/>
  <c r="I15" i="1"/>
  <c r="I12" i="1"/>
  <c r="J37" i="1"/>
  <c r="M37" i="1" s="1"/>
  <c r="N36" i="1" l="1"/>
  <c r="J12" i="1"/>
  <c r="N37" i="1"/>
  <c r="J14" i="1"/>
  <c r="K37" i="1"/>
  <c r="J15" i="1"/>
  <c r="J38" i="1"/>
  <c r="K38" i="1" l="1"/>
  <c r="M38" i="1"/>
  <c r="J39" i="1"/>
  <c r="M39" i="1"/>
  <c r="N38" i="1" l="1"/>
  <c r="N39" i="1"/>
  <c r="K39" i="1"/>
</calcChain>
</file>

<file path=xl/sharedStrings.xml><?xml version="1.0" encoding="utf-8"?>
<sst xmlns="http://schemas.openxmlformats.org/spreadsheetml/2006/main" count="218" uniqueCount="173">
  <si>
    <t>Test 2</t>
  </si>
  <si>
    <t>Exo 1</t>
  </si>
  <si>
    <t>delta = 5/360</t>
  </si>
  <si>
    <t>kappa = 1,25%</t>
  </si>
  <si>
    <t>teta = 3,25%</t>
  </si>
  <si>
    <t>sigma = 5,2%</t>
  </si>
  <si>
    <t>rateT = 3,5%</t>
  </si>
  <si>
    <t>%</t>
  </si>
  <si>
    <t>Relative</t>
  </si>
  <si>
    <t>proba next short rate will be more than current rate</t>
  </si>
  <si>
    <t>CDFnormale(A)</t>
  </si>
  <si>
    <t>Used the Cumulative Distributive Function</t>
  </si>
  <si>
    <t>IP[A&lt;x] = 1 - IP[x&lt;A] = 1 - CDFnormale(A)</t>
  </si>
  <si>
    <t>gamma</t>
  </si>
  <si>
    <t>rateT</t>
  </si>
  <si>
    <t>alpha</t>
  </si>
  <si>
    <t>beta</t>
  </si>
  <si>
    <t>Exemple</t>
  </si>
  <si>
    <t>A</t>
  </si>
  <si>
    <t xml:space="preserve">   où x suis une loi normale</t>
  </si>
  <si>
    <t xml:space="preserve">   où A = (1/gamma)*(2*rateT-alpha*rateT-beta)</t>
  </si>
  <si>
    <t>Exo 4</t>
  </si>
  <si>
    <t>Exo 3</t>
  </si>
  <si>
    <t>Exo 2</t>
  </si>
  <si>
    <t>t0</t>
  </si>
  <si>
    <t>t1</t>
  </si>
  <si>
    <t>t2</t>
  </si>
  <si>
    <t>t3</t>
  </si>
  <si>
    <t>t4</t>
  </si>
  <si>
    <t>t5</t>
  </si>
  <si>
    <t>jours</t>
  </si>
  <si>
    <t>écarts</t>
  </si>
  <si>
    <t>epsilon</t>
  </si>
  <si>
    <t>Rt1 = Ito(Rt0, d, K, t, e, s)</t>
  </si>
  <si>
    <t>Rt0 : donné</t>
  </si>
  <si>
    <t>Ito(rateT, delta, kappa, t, epsilon, sigma)</t>
  </si>
  <si>
    <t>epsilon : Gaussian shocks</t>
  </si>
  <si>
    <t>relativeChange (rateT, rateTPlusDelta)</t>
  </si>
  <si>
    <t>Rt2 = Ito(Rt0, d, K, t, e, s)</t>
  </si>
  <si>
    <t>Rt3 = Ito(Rt0, d, K, t, e, s)</t>
  </si>
  <si>
    <t>Rt4 = Ito(Rt0, d, K, t, e, s)</t>
  </si>
  <si>
    <t>Rt5 = Ito(Rt0, d, K, t, e, s)</t>
  </si>
  <si>
    <t>Rt+delta</t>
  </si>
  <si>
    <t>Test 1</t>
  </si>
  <si>
    <t>spot</t>
  </si>
  <si>
    <t>int_rate</t>
  </si>
  <si>
    <t>(volatility)</t>
  </si>
  <si>
    <t>(number of periods)</t>
  </si>
  <si>
    <t>sigma</t>
  </si>
  <si>
    <t>sigma*sqrt(delta)</t>
  </si>
  <si>
    <t>delta</t>
  </si>
  <si>
    <t>(period lenth)</t>
  </si>
  <si>
    <t>sigma_sq</t>
  </si>
  <si>
    <t>(sigma^2)</t>
  </si>
  <si>
    <t>trend</t>
  </si>
  <si>
    <t>(r-0,5*sigma^2)*delta</t>
  </si>
  <si>
    <t>inner_expon_u</t>
  </si>
  <si>
    <t>inner_expon_d</t>
  </si>
  <si>
    <t>rate*delta</t>
  </si>
  <si>
    <t>num</t>
  </si>
  <si>
    <t>den</t>
  </si>
  <si>
    <t>q</t>
  </si>
  <si>
    <t>p=1-q</t>
  </si>
  <si>
    <t>S0</t>
  </si>
  <si>
    <t>stock realization</t>
  </si>
  <si>
    <t>proba</t>
  </si>
  <si>
    <t>S*p</t>
  </si>
  <si>
    <t>(S-mu)^2*p</t>
  </si>
  <si>
    <t>(S-mu)^3*p</t>
  </si>
  <si>
    <t>(S-mu)^4*p</t>
  </si>
  <si>
    <t>sum</t>
  </si>
  <si>
    <t>(check)</t>
  </si>
  <si>
    <t>expectation = mu</t>
  </si>
  <si>
    <t>(SUM[S*p])</t>
  </si>
  <si>
    <t>Variance</t>
  </si>
  <si>
    <t>(SUM[(S-mu)^2*p])</t>
  </si>
  <si>
    <t>std</t>
  </si>
  <si>
    <t>skewness</t>
  </si>
  <si>
    <t>kurtosis</t>
  </si>
  <si>
    <t>mu</t>
  </si>
  <si>
    <t>mu*delta</t>
  </si>
  <si>
    <t>sigma*root(delta)</t>
  </si>
  <si>
    <t>Question 1</t>
  </si>
  <si>
    <t>L1</t>
  </si>
  <si>
    <t>L2</t>
  </si>
  <si>
    <t>a1</t>
  </si>
  <si>
    <t>a2</t>
  </si>
  <si>
    <t>A1</t>
  </si>
  <si>
    <t>A2</t>
  </si>
  <si>
    <t>phi(A1)</t>
  </si>
  <si>
    <t>Proba that the future stock stays between L1 and L2</t>
  </si>
  <si>
    <t>phi(A2)</t>
  </si>
  <si>
    <t>Question 2</t>
  </si>
  <si>
    <t>phi_inv(alpha)</t>
  </si>
  <si>
    <t>inner_expon_term</t>
  </si>
  <si>
    <t>exp(inner)</t>
  </si>
  <si>
    <t>Proba alpha the future price does not go above L</t>
  </si>
  <si>
    <t>Question 3</t>
  </si>
  <si>
    <t>1-alpha</t>
  </si>
  <si>
    <t>phi_inv(1-alpha)</t>
  </si>
  <si>
    <t>Proba alpha the future price does not go under L</t>
  </si>
  <si>
    <t>St</t>
  </si>
  <si>
    <t>µ</t>
  </si>
  <si>
    <t>x = ln (St+delta / St) ~ N(µ*delta, sigma²*delta)</t>
  </si>
  <si>
    <t>IP(112 &lt; St+delta &lt; 965) ?</t>
  </si>
  <si>
    <t>L1 =</t>
  </si>
  <si>
    <t>L2 =</t>
  </si>
  <si>
    <t>IP(L1 &lt; St+delta &lt; L2)</t>
  </si>
  <si>
    <t>a1 =</t>
  </si>
  <si>
    <t>ln(L1 / St)</t>
  </si>
  <si>
    <t>a2 =</t>
  </si>
  <si>
    <t>ln(L2 / St)</t>
  </si>
  <si>
    <t>X =</t>
  </si>
  <si>
    <t>ln(St+delta / St)</t>
  </si>
  <si>
    <t>Z =</t>
  </si>
  <si>
    <t>(X - µ*delta)/(sigma*Vdelta)</t>
  </si>
  <si>
    <t>A1 =</t>
  </si>
  <si>
    <t>(a1 - µ*delta)/(sigma*Vdelta)</t>
  </si>
  <si>
    <t>(a2 - µ*delta)/(sigma*Vdelta)</t>
  </si>
  <si>
    <t>A2 =</t>
  </si>
  <si>
    <t>IP(a1 &lt; X &lt; a2)</t>
  </si>
  <si>
    <t>Z ~ N(0, 1)</t>
  </si>
  <si>
    <t>IP(A1 &lt; Z &lt; A2)</t>
  </si>
  <si>
    <t>CDFn(A2) - CDFn(A1)</t>
  </si>
  <si>
    <t>Part 3</t>
  </si>
  <si>
    <t>90 days</t>
  </si>
  <si>
    <t>alpha =</t>
  </si>
  <si>
    <t>IP(St+delta &lt; a) = alpha</t>
  </si>
  <si>
    <t>a =</t>
  </si>
  <si>
    <t>A =</t>
  </si>
  <si>
    <t>ln(a / St)</t>
  </si>
  <si>
    <t>(X - µ*delta) / (sigma*Vdelta)</t>
  </si>
  <si>
    <t>IP(Z &lt; (A - µ*delta) / (sigma*Vdelta)) = alpha</t>
  </si>
  <si>
    <t>CDFn((A - µ*delta) / (sigma*Vdelta)) = alpha</t>
  </si>
  <si>
    <t>A = µ*delta + sigma*Vdelta*CDFni(alpha)</t>
  </si>
  <si>
    <t>a = St*exp(µ*delta + sigma*Vdelta*CDFni(alpha))</t>
  </si>
  <si>
    <t>IP(St+delta &lt; a) = 0.95 ?</t>
  </si>
  <si>
    <t>CDFni(alpha) =</t>
  </si>
  <si>
    <t>IP(a &lt; St+delta) = 0.95 ?</t>
  </si>
  <si>
    <t>IP(a &lt; St+delta) = alpha</t>
  </si>
  <si>
    <t>IP((A - µ*delta) / (sigma*Vdelta) &lt; Z) = alpha</t>
  </si>
  <si>
    <t>1 - CDFn((A - µ*delta) / (sigma*Vdelta)) = alpha</t>
  </si>
  <si>
    <t>A = µ*delta + sigma*Vdelta*CDFni(1 - alpha)</t>
  </si>
  <si>
    <t>CDFni(1 - alpha) =</t>
  </si>
  <si>
    <t>a = St*exp(µ*delta + sigma*Vdelta*CDFni(1 - alpha))</t>
  </si>
  <si>
    <t>IP =</t>
  </si>
  <si>
    <t>Sum</t>
  </si>
  <si>
    <t>Exo 5</t>
  </si>
  <si>
    <t>u (1 &lt; u)</t>
  </si>
  <si>
    <t>d (0 &lt; d &lt; 1)</t>
  </si>
  <si>
    <t>K1</t>
  </si>
  <si>
    <t>K2</t>
  </si>
  <si>
    <t>K3</t>
  </si>
  <si>
    <t>K4</t>
  </si>
  <si>
    <t>K5</t>
  </si>
  <si>
    <t>rate</t>
  </si>
  <si>
    <t>price</t>
  </si>
  <si>
    <t>volatility</t>
  </si>
  <si>
    <t>BandSput(rateT, delta, kappa, T, sigma, St)</t>
  </si>
  <si>
    <t>T</t>
  </si>
  <si>
    <t>pay off</t>
  </si>
  <si>
    <t>Ito</t>
  </si>
  <si>
    <t>Ito(rateT, delta, kappa, T, epsilon, sigma)</t>
  </si>
  <si>
    <t>u</t>
  </si>
  <si>
    <t>d</t>
  </si>
  <si>
    <t>vasicek(T, delta, kappa, rateT, sigma, teta)</t>
  </si>
  <si>
    <t>k</t>
  </si>
  <si>
    <t>teta</t>
  </si>
  <si>
    <t>--&gt; C2:C6</t>
  </si>
  <si>
    <t>B&amp;S</t>
  </si>
  <si>
    <t>--</t>
  </si>
  <si>
    <t>Pay off</t>
  </si>
  <si>
    <t>Part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</si>
</sst>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0" xfId="0" applyFill="1"/>
    <xf numFmtId="0" fontId="0" fillId="3" borderId="0" xfId="0" applyFill="1"/>
    <xf numFmtId="0" fontId="0" fillId="0" borderId="1" xfId="0" applyBorder="1"/>
    <xf numFmtId="164" fontId="0" fillId="0" borderId="3" xfId="1" applyNumberFormat="1" applyFont="1" applyBorder="1"/>
    <xf numFmtId="164" fontId="0" fillId="0" borderId="4" xfId="1" applyNumberFormat="1" applyFont="1" applyBorder="1"/>
    <xf numFmtId="10" fontId="0" fillId="0" borderId="3" xfId="1" applyNumberFormat="1" applyFont="1" applyBorder="1"/>
    <xf numFmtId="10" fontId="0" fillId="0" borderId="4" xfId="1" applyNumberFormat="1" applyFont="1" applyBorder="1"/>
    <xf numFmtId="0" fontId="0" fillId="4" borderId="0" xfId="0" applyFill="1"/>
    <xf numFmtId="0" fontId="0" fillId="0" borderId="0" xfId="0" quotePrefix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0" borderId="5" xfId="0" applyBorder="1" applyAlignment="1"/>
    <xf numFmtId="0" fontId="0" fillId="0" borderId="7" xfId="0" applyBorder="1" applyAlignment="1"/>
    <xf numFmtId="10" fontId="0" fillId="0" borderId="10" xfId="1" applyNumberFormat="1" applyFont="1" applyBorder="1"/>
    <xf numFmtId="0" fontId="0" fillId="0" borderId="7" xfId="0" applyBorder="1"/>
    <xf numFmtId="10" fontId="0" fillId="0" borderId="6" xfId="1" applyNumberFormat="1" applyFont="1" applyBorder="1"/>
    <xf numFmtId="0" fontId="0" fillId="6" borderId="1" xfId="0" applyFill="1" applyBorder="1"/>
    <xf numFmtId="0" fontId="0" fillId="6" borderId="5" xfId="0" applyFill="1" applyBorder="1"/>
    <xf numFmtId="0" fontId="2" fillId="0" borderId="0" xfId="0" applyFont="1" applyFill="1" applyBorder="1"/>
    <xf numFmtId="0" fontId="2" fillId="0" borderId="0" xfId="0" applyFont="1"/>
    <xf numFmtId="0" fontId="0" fillId="0" borderId="13" xfId="0" applyBorder="1"/>
    <xf numFmtId="0" fontId="0" fillId="0" borderId="14" xfId="0" applyBorder="1"/>
    <xf numFmtId="0" fontId="0" fillId="0" borderId="10" xfId="0" applyBorder="1"/>
    <xf numFmtId="0" fontId="0" fillId="0" borderId="15" xfId="0" applyBorder="1"/>
    <xf numFmtId="0" fontId="0" fillId="0" borderId="0" xfId="0"/>
    <xf numFmtId="0" fontId="0" fillId="0" borderId="0" xfId="0"/>
    <xf numFmtId="0" fontId="0" fillId="0" borderId="0" xfId="0"/>
    <xf numFmtId="0" fontId="0" fillId="4" borderId="0" xfId="0" applyFill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5" borderId="0" xfId="0" applyFill="1" applyAlignment="1">
      <alignment horizontal="center"/>
    </xf>
    <xf numFmtId="2" fontId="0" fillId="0" borderId="3" xfId="0" applyNumberFormat="1" applyBorder="1"/>
    <xf numFmtId="0" fontId="0" fillId="0" borderId="3" xfId="0" quotePrefix="1" applyBorder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I125"/>
  <sheetViews>
    <sheetView tabSelected="1" workbookViewId="0">
      <selection activeCell="G124" sqref="G124"/>
    </sheetView>
  </sheetViews>
  <sheetFormatPr baseColWidth="10" defaultRowHeight="15" x14ac:dyDescent="0.25"/>
  <sheetData>
    <row r="2" spans="2:8" x14ac:dyDescent="0.25">
      <c r="B2" s="5" t="s">
        <v>172</v>
      </c>
    </row>
    <row r="4" spans="2:8" x14ac:dyDescent="0.25">
      <c r="B4" t="s">
        <v>50</v>
      </c>
      <c r="C4">
        <f xml:space="preserve"> 90 / 360</f>
        <v>0.25</v>
      </c>
      <c r="D4" t="s">
        <v>125</v>
      </c>
    </row>
    <row r="5" spans="2:8" x14ac:dyDescent="0.25">
      <c r="B5" t="s">
        <v>101</v>
      </c>
      <c r="C5">
        <v>100</v>
      </c>
    </row>
    <row r="6" spans="2:8" x14ac:dyDescent="0.25">
      <c r="B6" t="s">
        <v>102</v>
      </c>
      <c r="C6">
        <v>0.01</v>
      </c>
    </row>
    <row r="7" spans="2:8" x14ac:dyDescent="0.25">
      <c r="B7" t="s">
        <v>48</v>
      </c>
      <c r="C7">
        <v>0.35</v>
      </c>
    </row>
    <row r="9" spans="2:8" x14ac:dyDescent="0.25">
      <c r="B9" s="37" t="s">
        <v>103</v>
      </c>
      <c r="C9" s="37"/>
      <c r="D9" s="37"/>
      <c r="E9" s="37"/>
    </row>
    <row r="12" spans="2:8" x14ac:dyDescent="0.25">
      <c r="B12" s="4" t="s">
        <v>1</v>
      </c>
    </row>
    <row r="14" spans="2:8" x14ac:dyDescent="0.25">
      <c r="B14" t="s">
        <v>104</v>
      </c>
    </row>
    <row r="15" spans="2:8" x14ac:dyDescent="0.25">
      <c r="G15" t="s">
        <v>105</v>
      </c>
      <c r="H15">
        <v>112</v>
      </c>
    </row>
    <row r="16" spans="2:8" x14ac:dyDescent="0.25">
      <c r="C16" s="12"/>
      <c r="E16" s="12"/>
      <c r="G16" t="s">
        <v>106</v>
      </c>
      <c r="H16">
        <v>965</v>
      </c>
    </row>
    <row r="17" spans="2:9" x14ac:dyDescent="0.25">
      <c r="B17" t="s">
        <v>107</v>
      </c>
    </row>
    <row r="18" spans="2:9" x14ac:dyDescent="0.25">
      <c r="G18" t="s">
        <v>112</v>
      </c>
      <c r="H18" t="s">
        <v>113</v>
      </c>
    </row>
    <row r="19" spans="2:9" x14ac:dyDescent="0.25">
      <c r="G19" t="s">
        <v>108</v>
      </c>
      <c r="H19">
        <f xml:space="preserve"> LN(H15 / C5)</f>
        <v>0.11332868530700327</v>
      </c>
      <c r="I19" t="s">
        <v>109</v>
      </c>
    </row>
    <row r="20" spans="2:9" x14ac:dyDescent="0.25">
      <c r="G20" t="s">
        <v>110</v>
      </c>
      <c r="H20">
        <f xml:space="preserve"> LN(H16 / C5)</f>
        <v>2.2669579153508947</v>
      </c>
      <c r="I20" t="s">
        <v>111</v>
      </c>
    </row>
    <row r="21" spans="2:9" x14ac:dyDescent="0.25">
      <c r="B21" t="s">
        <v>120</v>
      </c>
    </row>
    <row r="22" spans="2:9" x14ac:dyDescent="0.25">
      <c r="G22" t="s">
        <v>114</v>
      </c>
      <c r="H22" t="s">
        <v>115</v>
      </c>
    </row>
    <row r="23" spans="2:9" x14ac:dyDescent="0.25">
      <c r="G23" t="s">
        <v>116</v>
      </c>
      <c r="H23">
        <f xml:space="preserve"> ToGauss(H19, C6,C4, C7)</f>
        <v>0.63330677318287587</v>
      </c>
      <c r="I23" t="s">
        <v>117</v>
      </c>
    </row>
    <row r="24" spans="2:9" x14ac:dyDescent="0.25">
      <c r="G24" t="s">
        <v>119</v>
      </c>
      <c r="H24">
        <f xml:space="preserve"> ToGauss(H16, C6, C4, C7)</f>
        <v>5514.2714285714283</v>
      </c>
      <c r="I24" t="s">
        <v>118</v>
      </c>
    </row>
    <row r="25" spans="2:9" x14ac:dyDescent="0.25">
      <c r="B25" t="s">
        <v>122</v>
      </c>
    </row>
    <row r="26" spans="2:9" x14ac:dyDescent="0.25">
      <c r="G26" t="s">
        <v>121</v>
      </c>
    </row>
    <row r="27" spans="2:9" x14ac:dyDescent="0.25">
      <c r="B27" t="s">
        <v>123</v>
      </c>
    </row>
    <row r="30" spans="2:9" x14ac:dyDescent="0.25">
      <c r="C30" s="15" t="s">
        <v>145</v>
      </c>
      <c r="D30" s="16">
        <f xml:space="preserve"> CDFnormale(H24) - CDFnormale(H23)</f>
        <v>0.263266665538195</v>
      </c>
    </row>
    <row r="33" spans="2:9" x14ac:dyDescent="0.25">
      <c r="B33" s="4" t="s">
        <v>23</v>
      </c>
    </row>
    <row r="35" spans="2:9" x14ac:dyDescent="0.25">
      <c r="B35" t="s">
        <v>136</v>
      </c>
    </row>
    <row r="36" spans="2:9" x14ac:dyDescent="0.25">
      <c r="G36" t="s">
        <v>126</v>
      </c>
      <c r="H36">
        <v>0.95</v>
      </c>
    </row>
    <row r="37" spans="2:9" x14ac:dyDescent="0.25">
      <c r="B37" t="s">
        <v>127</v>
      </c>
    </row>
    <row r="38" spans="2:9" x14ac:dyDescent="0.25">
      <c r="G38" t="s">
        <v>112</v>
      </c>
      <c r="H38" t="s">
        <v>113</v>
      </c>
    </row>
    <row r="39" spans="2:9" x14ac:dyDescent="0.25">
      <c r="G39" t="s">
        <v>129</v>
      </c>
      <c r="H39" t="s">
        <v>130</v>
      </c>
    </row>
    <row r="40" spans="2:9" x14ac:dyDescent="0.25">
      <c r="G40" t="s">
        <v>114</v>
      </c>
      <c r="H40" t="s">
        <v>131</v>
      </c>
    </row>
    <row r="41" spans="2:9" x14ac:dyDescent="0.25">
      <c r="B41" t="s">
        <v>132</v>
      </c>
    </row>
    <row r="42" spans="2:9" x14ac:dyDescent="0.25">
      <c r="B42" t="s">
        <v>133</v>
      </c>
    </row>
    <row r="43" spans="2:9" x14ac:dyDescent="0.25">
      <c r="G43" t="s">
        <v>137</v>
      </c>
      <c r="I43">
        <f>NORMSINV(H36)</f>
        <v>1.6448536269514715</v>
      </c>
    </row>
    <row r="44" spans="2:9" x14ac:dyDescent="0.25">
      <c r="B44" t="s">
        <v>134</v>
      </c>
    </row>
    <row r="45" spans="2:9" x14ac:dyDescent="0.25">
      <c r="B45" t="s">
        <v>135</v>
      </c>
    </row>
    <row r="47" spans="2:9" x14ac:dyDescent="0.25">
      <c r="C47" s="15" t="s">
        <v>128</v>
      </c>
      <c r="D47" s="16">
        <f xml:space="preserve"> C5 * EXP((C6 * C4) + (C7  * _xludf.sqrt(C4) * I43))</f>
        <v>133.68944969426471</v>
      </c>
    </row>
    <row r="50" spans="2:9" x14ac:dyDescent="0.25">
      <c r="B50" s="4" t="s">
        <v>22</v>
      </c>
    </row>
    <row r="52" spans="2:9" x14ac:dyDescent="0.25">
      <c r="B52" t="s">
        <v>138</v>
      </c>
    </row>
    <row r="53" spans="2:9" x14ac:dyDescent="0.25">
      <c r="G53" t="s">
        <v>126</v>
      </c>
      <c r="H53">
        <v>0.95</v>
      </c>
    </row>
    <row r="54" spans="2:9" x14ac:dyDescent="0.25">
      <c r="B54" t="s">
        <v>139</v>
      </c>
    </row>
    <row r="55" spans="2:9" x14ac:dyDescent="0.25">
      <c r="G55" t="s">
        <v>112</v>
      </c>
      <c r="H55" t="s">
        <v>113</v>
      </c>
    </row>
    <row r="56" spans="2:9" x14ac:dyDescent="0.25">
      <c r="G56" t="s">
        <v>129</v>
      </c>
      <c r="H56" t="s">
        <v>130</v>
      </c>
    </row>
    <row r="57" spans="2:9" x14ac:dyDescent="0.25">
      <c r="G57" t="s">
        <v>114</v>
      </c>
      <c r="H57" t="s">
        <v>131</v>
      </c>
    </row>
    <row r="58" spans="2:9" x14ac:dyDescent="0.25">
      <c r="B58" t="s">
        <v>140</v>
      </c>
    </row>
    <row r="59" spans="2:9" x14ac:dyDescent="0.25">
      <c r="B59" t="s">
        <v>141</v>
      </c>
    </row>
    <row r="60" spans="2:9" x14ac:dyDescent="0.25">
      <c r="G60" t="s">
        <v>143</v>
      </c>
      <c r="I60">
        <f>NORMSINV(1 - H53)</f>
        <v>-1.6448536269514715</v>
      </c>
    </row>
    <row r="61" spans="2:9" x14ac:dyDescent="0.25">
      <c r="B61" t="s">
        <v>142</v>
      </c>
    </row>
    <row r="62" spans="2:9" x14ac:dyDescent="0.25">
      <c r="B62" t="s">
        <v>144</v>
      </c>
    </row>
    <row r="64" spans="2:9" x14ac:dyDescent="0.25">
      <c r="C64" s="15" t="s">
        <v>128</v>
      </c>
      <c r="D64" s="16">
        <f xml:space="preserve"> C5 * EXP((C6 * C4) + (C7  * _xludf.sqrt(C4) * I60))</f>
        <v>75.175155792605239</v>
      </c>
    </row>
    <row r="67" spans="2:8" x14ac:dyDescent="0.25">
      <c r="B67" s="5" t="s">
        <v>124</v>
      </c>
    </row>
    <row r="69" spans="2:8" x14ac:dyDescent="0.25">
      <c r="B69" s="4" t="s">
        <v>1</v>
      </c>
    </row>
    <row r="71" spans="2:8" x14ac:dyDescent="0.25">
      <c r="B71" s="6" t="s">
        <v>44</v>
      </c>
      <c r="C71" s="6">
        <v>100</v>
      </c>
    </row>
    <row r="72" spans="2:8" x14ac:dyDescent="0.25">
      <c r="B72" s="6" t="s">
        <v>45</v>
      </c>
      <c r="C72" s="6">
        <v>2.5000000000000001E-2</v>
      </c>
      <c r="F72" s="6" t="s">
        <v>47</v>
      </c>
      <c r="G72" s="6">
        <v>5</v>
      </c>
    </row>
    <row r="73" spans="2:8" x14ac:dyDescent="0.25">
      <c r="B73" s="6" t="s">
        <v>48</v>
      </c>
      <c r="C73" s="6">
        <v>0.15</v>
      </c>
      <c r="D73" t="s">
        <v>46</v>
      </c>
      <c r="F73" s="6" t="s">
        <v>49</v>
      </c>
      <c r="G73" s="6">
        <f>C73*SQRT(C74)</f>
        <v>7.9056941504209478E-3</v>
      </c>
    </row>
    <row r="74" spans="2:8" x14ac:dyDescent="0.25">
      <c r="B74" s="6" t="s">
        <v>50</v>
      </c>
      <c r="C74" s="6">
        <f>1/360</f>
        <v>2.7777777777777779E-3</v>
      </c>
      <c r="D74" t="s">
        <v>51</v>
      </c>
      <c r="F74" s="6" t="s">
        <v>52</v>
      </c>
      <c r="G74" s="6">
        <f>C73*C73</f>
        <v>2.2499999999999999E-2</v>
      </c>
      <c r="H74" t="s">
        <v>53</v>
      </c>
    </row>
    <row r="75" spans="2:8" x14ac:dyDescent="0.25">
      <c r="B75" s="19"/>
      <c r="C75" s="19"/>
      <c r="F75" s="19"/>
      <c r="G75" s="19"/>
    </row>
    <row r="77" spans="2:8" x14ac:dyDescent="0.25">
      <c r="B77" s="1" t="s">
        <v>54</v>
      </c>
      <c r="C77" s="1">
        <f>(C72-0.5*G74)*C74</f>
        <v>3.8194444444444451E-5</v>
      </c>
      <c r="D77" t="s">
        <v>55</v>
      </c>
    </row>
    <row r="78" spans="2:8" x14ac:dyDescent="0.25">
      <c r="B78" s="25"/>
      <c r="C78" s="25"/>
    </row>
    <row r="79" spans="2:8" x14ac:dyDescent="0.25">
      <c r="B79" s="3" t="s">
        <v>56</v>
      </c>
      <c r="C79" s="3">
        <f>(C72-0.5*G74)*C74+G73</f>
        <v>7.9438885948653927E-3</v>
      </c>
    </row>
    <row r="80" spans="2:8" x14ac:dyDescent="0.25">
      <c r="B80" s="6" t="s">
        <v>57</v>
      </c>
      <c r="C80" s="6">
        <f>(C72-0.5*G74)*C74-G73</f>
        <v>-7.867499705976503E-3</v>
      </c>
    </row>
    <row r="81" spans="2:7" x14ac:dyDescent="0.25">
      <c r="B81" s="6" t="s">
        <v>148</v>
      </c>
      <c r="C81" s="6">
        <f>EXP(C79)</f>
        <v>1.0079755249943947</v>
      </c>
      <c r="D81">
        <f xml:space="preserve"> EXP(G73)</f>
        <v>1.0079370266644199</v>
      </c>
    </row>
    <row r="82" spans="2:7" x14ac:dyDescent="0.25">
      <c r="B82" s="1" t="s">
        <v>149</v>
      </c>
      <c r="C82" s="1">
        <f>EXP(C80)</f>
        <v>0.99216336806606065</v>
      </c>
      <c r="D82">
        <f xml:space="preserve"> EXP(-G73)</f>
        <v>0.99212547366110171</v>
      </c>
    </row>
    <row r="83" spans="2:7" x14ac:dyDescent="0.25">
      <c r="B83" s="25"/>
      <c r="C83" s="25"/>
    </row>
    <row r="84" spans="2:7" x14ac:dyDescent="0.25">
      <c r="B84" s="3" t="s">
        <v>58</v>
      </c>
      <c r="C84" s="3">
        <f>C72*C74</f>
        <v>6.9444444444444444E-5</v>
      </c>
    </row>
    <row r="85" spans="2:7" x14ac:dyDescent="0.25">
      <c r="B85" s="6" t="s">
        <v>59</v>
      </c>
      <c r="C85" s="6">
        <f>EXP(C84)-C82</f>
        <v>7.9060787897049511E-3</v>
      </c>
    </row>
    <row r="86" spans="2:7" x14ac:dyDescent="0.25">
      <c r="B86" s="6" t="s">
        <v>60</v>
      </c>
      <c r="C86" s="6">
        <f>C81-C82</f>
        <v>1.5812156928334042E-2</v>
      </c>
    </row>
    <row r="87" spans="2:7" x14ac:dyDescent="0.25">
      <c r="B87" s="6" t="s">
        <v>61</v>
      </c>
      <c r="C87" s="6">
        <f>C85/C86</f>
        <v>0.50000002058782567</v>
      </c>
    </row>
    <row r="88" spans="2:7" x14ac:dyDescent="0.25">
      <c r="B88" s="6" t="s">
        <v>62</v>
      </c>
      <c r="C88" s="6">
        <f>1-C87</f>
        <v>0.49999997941217433</v>
      </c>
    </row>
    <row r="94" spans="2:7" x14ac:dyDescent="0.25">
      <c r="B94" t="s">
        <v>63</v>
      </c>
      <c r="C94">
        <v>1</v>
      </c>
      <c r="D94">
        <v>2</v>
      </c>
      <c r="E94">
        <v>3</v>
      </c>
      <c r="F94">
        <v>4</v>
      </c>
      <c r="G94">
        <v>5</v>
      </c>
    </row>
    <row r="96" spans="2:7" x14ac:dyDescent="0.25">
      <c r="G96" s="27">
        <f>F97*C81</f>
        <v>104.05188083757379</v>
      </c>
    </row>
    <row r="97" spans="2:8" x14ac:dyDescent="0.25">
      <c r="F97" s="27">
        <f>E98*C81</f>
        <v>103.22857872779443</v>
      </c>
      <c r="G97" s="19"/>
    </row>
    <row r="98" spans="2:8" x14ac:dyDescent="0.25">
      <c r="E98" s="28">
        <f>D99*C81</f>
        <v>102.41179092951535</v>
      </c>
      <c r="F98" s="20"/>
      <c r="G98" s="27">
        <f>F97*C82</f>
        <v>102.41961435124102</v>
      </c>
    </row>
    <row r="99" spans="2:8" x14ac:dyDescent="0.25">
      <c r="D99" s="28">
        <f>C100*C81</f>
        <v>101.60146589877255</v>
      </c>
      <c r="E99" s="15"/>
      <c r="F99" s="27">
        <f>E98*C82</f>
        <v>101.60922741830518</v>
      </c>
      <c r="G99" s="19"/>
    </row>
    <row r="100" spans="2:8" x14ac:dyDescent="0.25">
      <c r="C100" s="28">
        <f>B101*C81</f>
        <v>100.79755249943946</v>
      </c>
      <c r="D100" s="15"/>
      <c r="E100" s="28">
        <f>D101*C81</f>
        <v>100.80525260657519</v>
      </c>
      <c r="F100" s="20"/>
      <c r="G100" s="27">
        <f>F99*C82</f>
        <v>100.81295330193599</v>
      </c>
    </row>
    <row r="101" spans="2:8" x14ac:dyDescent="0.25">
      <c r="B101" s="28">
        <f>C71</f>
        <v>100</v>
      </c>
      <c r="C101" s="15"/>
      <c r="D101" s="28">
        <f>C102*C81</f>
        <v>100.00763918065944</v>
      </c>
      <c r="E101" s="15"/>
      <c r="F101" s="27">
        <f>E102*C81</f>
        <v>100.01527894488969</v>
      </c>
      <c r="G101" s="19"/>
    </row>
    <row r="102" spans="2:8" x14ac:dyDescent="0.25">
      <c r="C102" s="28">
        <f>B101*C82</f>
        <v>99.216336806606066</v>
      </c>
      <c r="D102" s="15"/>
      <c r="E102" s="28">
        <f>D101*C82</f>
        <v>99.223916121818405</v>
      </c>
      <c r="F102" s="20"/>
      <c r="G102" s="27">
        <f>F101*C82</f>
        <v>99.231496016028316</v>
      </c>
    </row>
    <row r="103" spans="2:8" x14ac:dyDescent="0.25">
      <c r="D103" s="28">
        <f>C102*C82</f>
        <v>98.438814893218932</v>
      </c>
      <c r="E103" s="15"/>
      <c r="F103" s="27">
        <f>E104*C81</f>
        <v>98.446334812127631</v>
      </c>
      <c r="G103" s="19"/>
    </row>
    <row r="104" spans="2:8" x14ac:dyDescent="0.25">
      <c r="E104" s="28">
        <f>D103*C82</f>
        <v>97.667386132887586</v>
      </c>
      <c r="F104" s="20"/>
      <c r="G104" s="27">
        <f>F105*C81</f>
        <v>97.674847120959626</v>
      </c>
    </row>
    <row r="105" spans="2:8" x14ac:dyDescent="0.25">
      <c r="F105" s="27">
        <f>E104*C82</f>
        <v>96.902002775814211</v>
      </c>
      <c r="G105" s="19"/>
    </row>
    <row r="106" spans="2:8" x14ac:dyDescent="0.25">
      <c r="G106" s="27">
        <f>F105*C82</f>
        <v>96.142617446398589</v>
      </c>
    </row>
    <row r="109" spans="2:8" x14ac:dyDescent="0.25">
      <c r="B109" s="4" t="s">
        <v>23</v>
      </c>
    </row>
    <row r="112" spans="2:8" x14ac:dyDescent="0.25">
      <c r="C112" s="6" t="s">
        <v>64</v>
      </c>
      <c r="D112" s="6" t="s">
        <v>65</v>
      </c>
      <c r="E112" s="15" t="s">
        <v>66</v>
      </c>
      <c r="F112" s="25" t="s">
        <v>67</v>
      </c>
      <c r="G112" s="25" t="s">
        <v>68</v>
      </c>
      <c r="H112" s="16" t="s">
        <v>69</v>
      </c>
    </row>
    <row r="113" spans="2:8" x14ac:dyDescent="0.25">
      <c r="B113" s="6">
        <v>0</v>
      </c>
      <c r="C113" s="6">
        <f>G96</f>
        <v>104.05188083757379</v>
      </c>
      <c r="D113" s="6">
        <f t="shared" ref="D113:D118" si="0">_xlfn.BINOM.DIST(B113,$G$72,$C$87,FALSE)</f>
        <v>3.1249993566305003E-2</v>
      </c>
      <c r="E113" s="31">
        <f>D113*C113</f>
        <v>3.251620606736116</v>
      </c>
      <c r="F113" s="32">
        <f t="shared" ref="F113:F118" si="1">(C113-D$121)^2*D113</f>
        <v>0.50429731865561311</v>
      </c>
      <c r="G113" s="32">
        <f t="shared" ref="G113:G118" si="2">(C113-D$121)^3*D113</f>
        <v>2.0258394422110215</v>
      </c>
      <c r="H113" s="17">
        <f t="shared" ref="H113:H118" si="3">(C113-D$121)^4*D113</f>
        <v>8.1381068147628177</v>
      </c>
    </row>
    <row r="114" spans="2:8" x14ac:dyDescent="0.25">
      <c r="B114" s="6">
        <v>1</v>
      </c>
      <c r="C114" s="6">
        <f>G98</f>
        <v>102.41961435124102</v>
      </c>
      <c r="D114" s="6">
        <f t="shared" si="0"/>
        <v>0.15624998069891394</v>
      </c>
      <c r="E114" s="18">
        <f t="shared" ref="E114:E118" si="4">D114*C114</f>
        <v>16.00306276557162</v>
      </c>
      <c r="F114" s="19">
        <f t="shared" si="1"/>
        <v>0.88870040020555863</v>
      </c>
      <c r="G114" s="19">
        <f t="shared" si="2"/>
        <v>2.1194495210407154</v>
      </c>
      <c r="H114" s="33">
        <f t="shared" si="3"/>
        <v>5.0546463928683849</v>
      </c>
    </row>
    <row r="115" spans="2:8" x14ac:dyDescent="0.25">
      <c r="B115" s="6">
        <v>2</v>
      </c>
      <c r="C115" s="6">
        <f>G100</f>
        <v>100.81295330193599</v>
      </c>
      <c r="D115" s="6">
        <f t="shared" si="0"/>
        <v>0.31249998713260785</v>
      </c>
      <c r="E115" s="18">
        <f t="shared" si="4"/>
        <v>31.504046609655195</v>
      </c>
      <c r="F115" s="19">
        <f t="shared" si="1"/>
        <v>0.18926084739417176</v>
      </c>
      <c r="G115" s="19">
        <f t="shared" si="2"/>
        <v>0.14728759421641352</v>
      </c>
      <c r="H115" s="33">
        <f t="shared" si="3"/>
        <v>0.11462294346002667</v>
      </c>
    </row>
    <row r="116" spans="2:8" x14ac:dyDescent="0.25">
      <c r="B116" s="6">
        <v>3</v>
      </c>
      <c r="C116" s="6">
        <f>G102</f>
        <v>99.231496016028316</v>
      </c>
      <c r="D116" s="6">
        <f t="shared" si="0"/>
        <v>0.31250001286738993</v>
      </c>
      <c r="E116" s="18">
        <f t="shared" si="4"/>
        <v>31.009843781859203</v>
      </c>
      <c r="F116" s="19">
        <f t="shared" si="1"/>
        <v>0.20161922715226044</v>
      </c>
      <c r="G116" s="19">
        <f t="shared" si="2"/>
        <v>-0.16194699680267138</v>
      </c>
      <c r="H116" s="33">
        <f t="shared" si="3"/>
        <v>0.13008099546775007</v>
      </c>
    </row>
    <row r="117" spans="2:8" x14ac:dyDescent="0.25">
      <c r="B117" s="6">
        <v>4</v>
      </c>
      <c r="C117" s="6">
        <f>G104</f>
        <v>97.674847120959626</v>
      </c>
      <c r="D117" s="6">
        <f t="shared" si="0"/>
        <v>0.15625001930108706</v>
      </c>
      <c r="E117" s="18">
        <f t="shared" si="4"/>
        <v>15.26169674788067</v>
      </c>
      <c r="F117" s="19">
        <f t="shared" si="1"/>
        <v>0.87016220302385283</v>
      </c>
      <c r="G117" s="19">
        <f t="shared" si="2"/>
        <v>-2.0534790797135214</v>
      </c>
      <c r="H117" s="33">
        <f t="shared" si="3"/>
        <v>4.8459658626490612</v>
      </c>
    </row>
    <row r="118" spans="2:8" x14ac:dyDescent="0.25">
      <c r="B118" s="6">
        <v>5</v>
      </c>
      <c r="C118" s="6">
        <f>G106</f>
        <v>96.142617446398589</v>
      </c>
      <c r="D118" s="6">
        <f t="shared" si="0"/>
        <v>3.1250006433696041E-2</v>
      </c>
      <c r="E118" s="20">
        <f t="shared" si="4"/>
        <v>3.0044574137523332</v>
      </c>
      <c r="F118" s="21">
        <f t="shared" si="1"/>
        <v>0.47339147187293146</v>
      </c>
      <c r="G118" s="21">
        <f t="shared" si="2"/>
        <v>-1.842491908372643</v>
      </c>
      <c r="H118" s="34">
        <f t="shared" si="3"/>
        <v>7.1711820641540731</v>
      </c>
    </row>
    <row r="119" spans="2:8" x14ac:dyDescent="0.25">
      <c r="G119" s="31" t="s">
        <v>146</v>
      </c>
      <c r="H119" s="17" t="s">
        <v>146</v>
      </c>
    </row>
    <row r="120" spans="2:8" x14ac:dyDescent="0.25">
      <c r="C120" s="6" t="s">
        <v>70</v>
      </c>
      <c r="D120" s="15">
        <f>SUM(D113:D118)</f>
        <v>0.99999999999999978</v>
      </c>
      <c r="E120" s="18" t="s">
        <v>71</v>
      </c>
      <c r="G120" s="20">
        <f>SUM(G113:G118)</f>
        <v>0.23465857257931488</v>
      </c>
      <c r="H120" s="34">
        <f>SUM(H113:H118)</f>
        <v>25.454605073362117</v>
      </c>
    </row>
    <row r="121" spans="2:8" x14ac:dyDescent="0.25">
      <c r="C121" s="31" t="s">
        <v>72</v>
      </c>
      <c r="D121" s="17">
        <f>SUM(E113:E118)</f>
        <v>100.03472792545514</v>
      </c>
      <c r="E121" t="s">
        <v>73</v>
      </c>
    </row>
    <row r="122" spans="2:8" x14ac:dyDescent="0.25">
      <c r="C122" s="18" t="s">
        <v>74</v>
      </c>
      <c r="D122" s="33">
        <f>SUM(F113:F118)</f>
        <v>3.1274314683043882</v>
      </c>
      <c r="E122" t="s">
        <v>75</v>
      </c>
    </row>
    <row r="123" spans="2:8" x14ac:dyDescent="0.25">
      <c r="C123" s="18" t="s">
        <v>76</v>
      </c>
      <c r="D123" s="33">
        <f>SQRT(D122)</f>
        <v>1.7684545423347438</v>
      </c>
    </row>
    <row r="124" spans="2:8" x14ac:dyDescent="0.25">
      <c r="C124" s="18" t="s">
        <v>77</v>
      </c>
      <c r="D124" s="33">
        <f>G120/D123^3</f>
        <v>4.242821119195575E-2</v>
      </c>
    </row>
    <row r="125" spans="2:8" x14ac:dyDescent="0.25">
      <c r="C125" s="20" t="s">
        <v>78</v>
      </c>
      <c r="D125" s="34">
        <f>H120/D123^4</f>
        <v>2.6025001301673454</v>
      </c>
    </row>
  </sheetData>
  <mergeCells count="1">
    <mergeCell ref="B9:E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H2:O41"/>
  <sheetViews>
    <sheetView topLeftCell="G1" workbookViewId="0">
      <selection activeCell="L26" sqref="L26"/>
    </sheetView>
  </sheetViews>
  <sheetFormatPr baseColWidth="10" defaultRowHeight="15" x14ac:dyDescent="0.25"/>
  <sheetData>
    <row r="2" spans="8:13" x14ac:dyDescent="0.25">
      <c r="H2" s="5" t="s">
        <v>43</v>
      </c>
    </row>
    <row r="4" spans="8:13" x14ac:dyDescent="0.25">
      <c r="I4" s="6" t="s">
        <v>44</v>
      </c>
      <c r="J4" s="6">
        <v>100</v>
      </c>
    </row>
    <row r="5" spans="8:13" x14ac:dyDescent="0.25">
      <c r="I5" s="6" t="s">
        <v>79</v>
      </c>
      <c r="J5" s="6">
        <v>0.01</v>
      </c>
      <c r="L5" s="6" t="s">
        <v>80</v>
      </c>
      <c r="M5" s="6">
        <f>J5*J7</f>
        <v>2.5000000000000001E-3</v>
      </c>
    </row>
    <row r="6" spans="8:13" x14ac:dyDescent="0.25">
      <c r="I6" s="6" t="s">
        <v>48</v>
      </c>
      <c r="J6" s="6">
        <v>0.35</v>
      </c>
      <c r="L6" s="6" t="s">
        <v>81</v>
      </c>
      <c r="M6" s="6">
        <f>J6*SQRT(J7)</f>
        <v>0.17499999999999999</v>
      </c>
    </row>
    <row r="7" spans="8:13" x14ac:dyDescent="0.25">
      <c r="I7" s="6" t="s">
        <v>50</v>
      </c>
      <c r="J7" s="6">
        <f>90/360</f>
        <v>0.25</v>
      </c>
    </row>
    <row r="8" spans="8:13" x14ac:dyDescent="0.25">
      <c r="I8" s="19"/>
      <c r="J8" s="19"/>
    </row>
    <row r="9" spans="8:13" x14ac:dyDescent="0.25">
      <c r="H9" s="4" t="s">
        <v>82</v>
      </c>
      <c r="I9" s="29"/>
      <c r="J9" s="19"/>
    </row>
    <row r="11" spans="8:13" x14ac:dyDescent="0.25">
      <c r="I11" s="6" t="s">
        <v>83</v>
      </c>
      <c r="J11" s="6">
        <v>96.5</v>
      </c>
    </row>
    <row r="12" spans="8:13" x14ac:dyDescent="0.25">
      <c r="I12" s="6" t="s">
        <v>84</v>
      </c>
      <c r="J12" s="6">
        <v>112</v>
      </c>
    </row>
    <row r="14" spans="8:13" x14ac:dyDescent="0.25">
      <c r="I14" s="6" t="s">
        <v>85</v>
      </c>
      <c r="J14" s="6">
        <f>LN(J11/J4)</f>
        <v>-3.562717764315116E-2</v>
      </c>
    </row>
    <row r="15" spans="8:13" x14ac:dyDescent="0.25">
      <c r="I15" s="6" t="s">
        <v>86</v>
      </c>
      <c r="J15" s="6">
        <f>LN(J12/J4)</f>
        <v>0.11332868530700327</v>
      </c>
    </row>
    <row r="17" spans="8:15" x14ac:dyDescent="0.25">
      <c r="I17" s="6" t="s">
        <v>87</v>
      </c>
      <c r="J17" s="6">
        <f>(J14-M5)/M6</f>
        <v>-0.21786958653229238</v>
      </c>
    </row>
    <row r="18" spans="8:15" x14ac:dyDescent="0.25">
      <c r="I18" s="6" t="s">
        <v>88</v>
      </c>
      <c r="J18" s="6">
        <f>(J15-M5)/M6</f>
        <v>0.63330677318287587</v>
      </c>
    </row>
    <row r="20" spans="8:15" x14ac:dyDescent="0.25">
      <c r="I20" s="6" t="s">
        <v>89</v>
      </c>
      <c r="J20" s="6">
        <f>_xlfn.NORM.S.DIST(J17,TRUE)</f>
        <v>0.41376536217750343</v>
      </c>
      <c r="N20" s="6" t="s">
        <v>90</v>
      </c>
      <c r="O20" s="6">
        <f>J21-J20</f>
        <v>0.32296797228430157</v>
      </c>
    </row>
    <row r="21" spans="8:15" x14ac:dyDescent="0.25">
      <c r="I21" s="6" t="s">
        <v>91</v>
      </c>
      <c r="J21" s="6">
        <f>_xlfn.NORM.S.DIST(J18,TRUE)</f>
        <v>0.736733334461805</v>
      </c>
    </row>
    <row r="23" spans="8:15" x14ac:dyDescent="0.25">
      <c r="H23" s="4" t="s">
        <v>92</v>
      </c>
      <c r="I23" s="30"/>
    </row>
    <row r="25" spans="8:15" x14ac:dyDescent="0.25">
      <c r="I25" s="6" t="s">
        <v>15</v>
      </c>
      <c r="J25" s="6">
        <v>0.95</v>
      </c>
    </row>
    <row r="27" spans="8:15" x14ac:dyDescent="0.25">
      <c r="I27" s="6" t="s">
        <v>93</v>
      </c>
      <c r="J27" s="6">
        <f>_xlfn.NORM.S.INV(J25)</f>
        <v>1.6448536269514715</v>
      </c>
    </row>
    <row r="29" spans="8:15" x14ac:dyDescent="0.25">
      <c r="I29" s="6" t="s">
        <v>94</v>
      </c>
      <c r="J29" s="6">
        <f>M5+M6*J27</f>
        <v>0.29034938471650751</v>
      </c>
    </row>
    <row r="31" spans="8:15" x14ac:dyDescent="0.25">
      <c r="I31" s="6" t="s">
        <v>95</v>
      </c>
      <c r="J31" s="6">
        <f>EXP(J29)</f>
        <v>1.3368944969426471</v>
      </c>
      <c r="N31" s="6" t="s">
        <v>96</v>
      </c>
      <c r="O31" s="6">
        <f>J4*J31</f>
        <v>133.68944969426471</v>
      </c>
    </row>
    <row r="33" spans="8:15" x14ac:dyDescent="0.25">
      <c r="H33" s="4" t="s">
        <v>97</v>
      </c>
      <c r="I33" s="30"/>
    </row>
    <row r="35" spans="8:15" x14ac:dyDescent="0.25">
      <c r="I35" s="6" t="s">
        <v>98</v>
      </c>
      <c r="J35" s="6">
        <f>1-J25</f>
        <v>5.0000000000000044E-2</v>
      </c>
    </row>
    <row r="37" spans="8:15" x14ac:dyDescent="0.25">
      <c r="I37" s="6" t="s">
        <v>99</v>
      </c>
      <c r="J37" s="6">
        <f>_xlfn.NORM.S.INV(J35)</f>
        <v>-1.6448536269514715</v>
      </c>
    </row>
    <row r="39" spans="8:15" x14ac:dyDescent="0.25">
      <c r="I39" s="6" t="s">
        <v>94</v>
      </c>
      <c r="J39" s="6">
        <f>M5+M6*J37</f>
        <v>-0.2853493847165075</v>
      </c>
    </row>
    <row r="41" spans="8:15" x14ac:dyDescent="0.25">
      <c r="I41" s="6" t="s">
        <v>95</v>
      </c>
      <c r="J41" s="6">
        <f>EXP(J39)</f>
        <v>0.75175155792605242</v>
      </c>
      <c r="N41" s="6" t="s">
        <v>100</v>
      </c>
      <c r="O41" s="6">
        <f>J4*J41</f>
        <v>75.175155792605239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3:N39"/>
  <sheetViews>
    <sheetView workbookViewId="0">
      <selection activeCell="I5" sqref="I5"/>
    </sheetView>
  </sheetViews>
  <sheetFormatPr baseColWidth="10" defaultColWidth="9.140625" defaultRowHeight="15" x14ac:dyDescent="0.25"/>
  <cols>
    <col min="2" max="2" width="13" customWidth="1"/>
    <col min="6" max="6" width="9.5703125" bestFit="1" customWidth="1"/>
    <col min="11" max="11" width="9.5703125" bestFit="1" customWidth="1"/>
    <col min="12" max="13" width="9.28515625" customWidth="1"/>
  </cols>
  <sheetData>
    <row r="3" spans="2:12" x14ac:dyDescent="0.25">
      <c r="B3" s="5" t="s">
        <v>0</v>
      </c>
    </row>
    <row r="5" spans="2:12" x14ac:dyDescent="0.25">
      <c r="B5" s="4" t="s">
        <v>1</v>
      </c>
      <c r="I5" s="4" t="s">
        <v>23</v>
      </c>
    </row>
    <row r="7" spans="2:12" x14ac:dyDescent="0.25">
      <c r="B7" t="s">
        <v>2</v>
      </c>
      <c r="C7">
        <f>5/360</f>
        <v>1.3888888888888888E-2</v>
      </c>
      <c r="F7" s="38" t="s">
        <v>35</v>
      </c>
      <c r="G7" s="38"/>
      <c r="I7" s="38" t="s">
        <v>37</v>
      </c>
      <c r="J7" s="38"/>
    </row>
    <row r="8" spans="2:12" ht="15" customHeight="1" x14ac:dyDescent="0.25">
      <c r="B8" t="s">
        <v>3</v>
      </c>
      <c r="C8">
        <f>1.25%</f>
        <v>1.2500000000000001E-2</v>
      </c>
      <c r="F8" s="38"/>
      <c r="G8" s="38"/>
      <c r="I8" s="38"/>
      <c r="J8" s="38"/>
    </row>
    <row r="9" spans="2:12" ht="15" customHeight="1" x14ac:dyDescent="0.25">
      <c r="B9" t="s">
        <v>4</v>
      </c>
      <c r="C9">
        <f xml:space="preserve"> 3.25%</f>
        <v>3.2500000000000001E-2</v>
      </c>
      <c r="E9" s="13"/>
      <c r="F9" s="38"/>
      <c r="G9" s="38"/>
      <c r="I9" s="38"/>
      <c r="J9" s="38"/>
      <c r="K9" s="14"/>
      <c r="L9" s="14"/>
    </row>
    <row r="10" spans="2:12" x14ac:dyDescent="0.25">
      <c r="B10" t="s">
        <v>5</v>
      </c>
      <c r="C10">
        <f xml:space="preserve"> 5.2%</f>
        <v>5.2000000000000005E-2</v>
      </c>
    </row>
    <row r="11" spans="2:12" x14ac:dyDescent="0.25">
      <c r="B11" t="s">
        <v>6</v>
      </c>
      <c r="C11">
        <f xml:space="preserve"> 3.5%</f>
        <v>3.5000000000000003E-2</v>
      </c>
      <c r="F11" s="6" t="s">
        <v>42</v>
      </c>
      <c r="G11" s="6" t="s">
        <v>7</v>
      </c>
      <c r="I11" s="6" t="s">
        <v>8</v>
      </c>
      <c r="J11" s="6" t="s">
        <v>7</v>
      </c>
    </row>
    <row r="12" spans="2:12" x14ac:dyDescent="0.25">
      <c r="B12" s="39" t="s">
        <v>36</v>
      </c>
      <c r="C12">
        <v>-1</v>
      </c>
      <c r="F12" s="1">
        <f>Ito(C$11,C$7,C$8,C$9,C12,C$10)</f>
        <v>2.8871839168039988E-2</v>
      </c>
      <c r="G12" s="7">
        <f>F12</f>
        <v>2.8871839168039988E-2</v>
      </c>
      <c r="I12" s="2">
        <f>relativeChange($C$11,F12)</f>
        <v>-0.17509030948457185</v>
      </c>
      <c r="J12" s="9">
        <f>I12</f>
        <v>-0.17509030948457185</v>
      </c>
    </row>
    <row r="13" spans="2:12" x14ac:dyDescent="0.25">
      <c r="B13" s="39"/>
      <c r="C13">
        <v>-0.5</v>
      </c>
      <c r="F13" s="2">
        <f t="shared" ref="F13:F16" si="0">Ito(C$11,C$7,C$8,C$9,C13,C$10)</f>
        <v>3.1935702588968023E-2</v>
      </c>
      <c r="G13" s="7">
        <f t="shared" ref="G13:G16" si="1">F13</f>
        <v>3.1935702588968023E-2</v>
      </c>
      <c r="I13" s="2">
        <f t="shared" ref="I13:I16" si="2">relativeChange($C$11,F13)</f>
        <v>-8.7551354600913706E-2</v>
      </c>
      <c r="J13" s="9">
        <f t="shared" ref="J13:J16" si="3">I13</f>
        <v>-8.7551354600913706E-2</v>
      </c>
    </row>
    <row r="14" spans="2:12" x14ac:dyDescent="0.25">
      <c r="B14" s="39"/>
      <c r="C14">
        <v>0</v>
      </c>
      <c r="F14" s="2">
        <f t="shared" si="0"/>
        <v>3.4999566009896066E-2</v>
      </c>
      <c r="G14" s="7">
        <f t="shared" si="1"/>
        <v>3.4999566009896066E-2</v>
      </c>
      <c r="I14" s="2">
        <f t="shared" si="2"/>
        <v>-1.2399717255354554E-5</v>
      </c>
      <c r="J14" s="9">
        <f t="shared" si="3"/>
        <v>-1.2399717255354554E-5</v>
      </c>
    </row>
    <row r="15" spans="2:12" x14ac:dyDescent="0.25">
      <c r="B15" s="39"/>
      <c r="C15">
        <v>0.5</v>
      </c>
      <c r="F15" s="2">
        <f t="shared" si="0"/>
        <v>3.8063429430824101E-2</v>
      </c>
      <c r="G15" s="7">
        <f t="shared" si="1"/>
        <v>3.8063429430824101E-2</v>
      </c>
      <c r="I15" s="2">
        <f t="shared" si="2"/>
        <v>8.75265551664028E-2</v>
      </c>
      <c r="J15" s="9">
        <f t="shared" si="3"/>
        <v>8.75265551664028E-2</v>
      </c>
    </row>
    <row r="16" spans="2:12" x14ac:dyDescent="0.25">
      <c r="B16" s="39"/>
      <c r="C16">
        <v>1</v>
      </c>
      <c r="F16" s="3">
        <f t="shared" si="0"/>
        <v>4.1127292851752144E-2</v>
      </c>
      <c r="G16" s="8">
        <f t="shared" si="1"/>
        <v>4.1127292851752144E-2</v>
      </c>
      <c r="I16" s="3">
        <f t="shared" si="2"/>
        <v>0.17506551005006113</v>
      </c>
      <c r="J16" s="10">
        <f t="shared" si="3"/>
        <v>0.17506551005006113</v>
      </c>
    </row>
    <row r="19" spans="2:14" x14ac:dyDescent="0.25">
      <c r="B19" s="4" t="s">
        <v>22</v>
      </c>
    </row>
    <row r="21" spans="2:14" x14ac:dyDescent="0.25">
      <c r="B21" s="40" t="s">
        <v>9</v>
      </c>
      <c r="C21" s="40"/>
      <c r="D21" s="40"/>
      <c r="E21" s="40"/>
      <c r="F21" s="40"/>
    </row>
    <row r="23" spans="2:14" x14ac:dyDescent="0.25">
      <c r="B23" s="11" t="s">
        <v>11</v>
      </c>
      <c r="C23" s="11"/>
      <c r="D23" s="11"/>
      <c r="E23" s="11"/>
      <c r="I23" s="11" t="s">
        <v>17</v>
      </c>
    </row>
    <row r="25" spans="2:14" x14ac:dyDescent="0.25">
      <c r="B25" t="s">
        <v>12</v>
      </c>
      <c r="I25" t="s">
        <v>14</v>
      </c>
      <c r="J25">
        <f>0.001</f>
        <v>1E-3</v>
      </c>
    </row>
    <row r="26" spans="2:14" x14ac:dyDescent="0.25">
      <c r="C26" t="s">
        <v>19</v>
      </c>
      <c r="I26" t="s">
        <v>15</v>
      </c>
      <c r="J26">
        <f>alpha(C7,C8)</f>
        <v>0.9998264039584257</v>
      </c>
      <c r="M26" s="6" t="s">
        <v>18</v>
      </c>
      <c r="N26" s="6">
        <f>(1/J28)*(2*J25-J26*J25-J27)</f>
        <v>0.16230027061538663</v>
      </c>
    </row>
    <row r="27" spans="2:14" x14ac:dyDescent="0.25">
      <c r="C27" t="s">
        <v>20</v>
      </c>
      <c r="I27" t="s">
        <v>16</v>
      </c>
      <c r="J27">
        <f>beta(C7,C8,C9)</f>
        <v>5.6418713511646743E-6</v>
      </c>
    </row>
    <row r="28" spans="2:14" x14ac:dyDescent="0.25">
      <c r="I28" t="s">
        <v>13</v>
      </c>
      <c r="J28" s="12">
        <f>gamma2(C7,C8,C10)</f>
        <v>6.127726841856077E-3</v>
      </c>
      <c r="L28" s="15" t="s">
        <v>10</v>
      </c>
      <c r="M28" s="16"/>
      <c r="N28" s="6">
        <f>CDFnormale(N26)</f>
        <v>0.56446529920725441</v>
      </c>
    </row>
    <row r="29" spans="2:14" x14ac:dyDescent="0.25">
      <c r="J29" s="12"/>
      <c r="L29" s="19"/>
      <c r="M29" s="19"/>
      <c r="N29" s="19"/>
    </row>
    <row r="31" spans="2:14" x14ac:dyDescent="0.25">
      <c r="B31" s="4" t="s">
        <v>21</v>
      </c>
      <c r="M31" s="4" t="s">
        <v>147</v>
      </c>
    </row>
    <row r="33" spans="2:14" x14ac:dyDescent="0.25">
      <c r="C33" t="s">
        <v>30</v>
      </c>
      <c r="D33" t="s">
        <v>31</v>
      </c>
      <c r="E33" t="s">
        <v>32</v>
      </c>
      <c r="G33" s="22" t="s">
        <v>14</v>
      </c>
      <c r="H33" s="23"/>
      <c r="I33" s="23"/>
      <c r="J33" s="23"/>
      <c r="K33" s="16"/>
      <c r="M33" s="6" t="s">
        <v>8</v>
      </c>
      <c r="N33" s="6" t="s">
        <v>7</v>
      </c>
    </row>
    <row r="34" spans="2:14" x14ac:dyDescent="0.25">
      <c r="B34" t="s">
        <v>24</v>
      </c>
      <c r="C34">
        <v>0</v>
      </c>
      <c r="G34" s="15" t="s">
        <v>34</v>
      </c>
      <c r="H34" s="25"/>
      <c r="I34" s="25"/>
      <c r="J34" s="6">
        <v>3.5000000000000003E-2</v>
      </c>
      <c r="K34" s="26">
        <f>J34</f>
        <v>3.5000000000000003E-2</v>
      </c>
      <c r="M34" s="1"/>
      <c r="N34" s="17"/>
    </row>
    <row r="35" spans="2:14" x14ac:dyDescent="0.25">
      <c r="B35" t="s">
        <v>25</v>
      </c>
      <c r="C35">
        <v>5</v>
      </c>
      <c r="D35">
        <f>C35-C34</f>
        <v>5</v>
      </c>
      <c r="E35">
        <v>0</v>
      </c>
      <c r="G35" s="18" t="s">
        <v>33</v>
      </c>
      <c r="H35" s="19"/>
      <c r="I35" s="19"/>
      <c r="J35" s="2">
        <f>Ito(J34,C$7,C$8,C$9,E35,C$10)</f>
        <v>3.4999566009896066E-2</v>
      </c>
      <c r="K35" s="24">
        <f t="shared" ref="K35:K39" si="4">J35</f>
        <v>3.4999566009896066E-2</v>
      </c>
      <c r="M35" s="2">
        <f>relativeChange(J34,J35)</f>
        <v>-1.2399717255354554E-5</v>
      </c>
      <c r="N35" s="9">
        <f>M35</f>
        <v>-1.2399717255354554E-5</v>
      </c>
    </row>
    <row r="36" spans="2:14" x14ac:dyDescent="0.25">
      <c r="B36" t="s">
        <v>26</v>
      </c>
      <c r="C36">
        <v>10</v>
      </c>
      <c r="D36">
        <f t="shared" ref="D36:D39" si="5">C36-C35</f>
        <v>5</v>
      </c>
      <c r="E36">
        <v>-0.25</v>
      </c>
      <c r="G36" s="18" t="s">
        <v>38</v>
      </c>
      <c r="H36" s="19"/>
      <c r="I36" s="19"/>
      <c r="J36" s="2">
        <f>Ito(J35,C$7,C$8,C$9,E36,C$10)</f>
        <v>3.3467200384667072E-2</v>
      </c>
      <c r="K36" s="24">
        <f t="shared" si="4"/>
        <v>3.3467200384667072E-2</v>
      </c>
      <c r="M36" s="2">
        <f>relativeChange(J35,J36)</f>
        <v>-4.3782417896145363E-2</v>
      </c>
      <c r="N36" s="9">
        <f t="shared" ref="N36:N39" si="6">M36</f>
        <v>-4.3782417896145363E-2</v>
      </c>
    </row>
    <row r="37" spans="2:14" x14ac:dyDescent="0.25">
      <c r="B37" t="s">
        <v>27</v>
      </c>
      <c r="C37">
        <v>15</v>
      </c>
      <c r="D37">
        <f t="shared" si="5"/>
        <v>5</v>
      </c>
      <c r="E37">
        <v>0</v>
      </c>
      <c r="G37" s="18" t="s">
        <v>39</v>
      </c>
      <c r="H37" s="19"/>
      <c r="I37" s="19"/>
      <c r="J37" s="2">
        <f t="shared" ref="J37:J39" si="7">Ito(J36,C$7,C$8,C$9,E37,C$10)</f>
        <v>3.3467032482508888E-2</v>
      </c>
      <c r="K37" s="24">
        <f t="shared" si="4"/>
        <v>3.3467032482508888E-2</v>
      </c>
      <c r="M37" s="2">
        <f>relativeChange(J36,J37)</f>
        <v>-5.0169167499508257E-6</v>
      </c>
      <c r="N37" s="9">
        <f t="shared" si="6"/>
        <v>-5.0169167499508257E-6</v>
      </c>
    </row>
    <row r="38" spans="2:14" x14ac:dyDescent="0.25">
      <c r="B38" t="s">
        <v>28</v>
      </c>
      <c r="C38">
        <v>20</v>
      </c>
      <c r="D38">
        <f t="shared" si="5"/>
        <v>5</v>
      </c>
      <c r="E38">
        <v>0.25</v>
      </c>
      <c r="G38" s="18" t="s">
        <v>40</v>
      </c>
      <c r="H38" s="19"/>
      <c r="I38" s="19"/>
      <c r="J38" s="2">
        <f t="shared" si="7"/>
        <v>3.4998796319961875E-2</v>
      </c>
      <c r="K38" s="24">
        <f t="shared" si="4"/>
        <v>3.4998796319961875E-2</v>
      </c>
      <c r="M38" s="2">
        <f>relativeChange(J37,J38)</f>
        <v>4.5769335487200545E-2</v>
      </c>
      <c r="N38" s="9">
        <f t="shared" si="6"/>
        <v>4.5769335487200545E-2</v>
      </c>
    </row>
    <row r="39" spans="2:14" x14ac:dyDescent="0.25">
      <c r="B39" t="s">
        <v>29</v>
      </c>
      <c r="C39">
        <v>25</v>
      </c>
      <c r="D39">
        <f t="shared" si="5"/>
        <v>5</v>
      </c>
      <c r="E39">
        <v>-0.25</v>
      </c>
      <c r="G39" s="20" t="s">
        <v>41</v>
      </c>
      <c r="H39" s="21"/>
      <c r="I39" s="21"/>
      <c r="J39" s="3">
        <f t="shared" si="7"/>
        <v>3.3466430828348007E-2</v>
      </c>
      <c r="K39" s="10">
        <f t="shared" si="4"/>
        <v>3.3466430828348007E-2</v>
      </c>
      <c r="M39" s="3">
        <f>relativeChange(J38,J39)</f>
        <v>-4.3783376936876832E-2</v>
      </c>
      <c r="N39" s="10">
        <f t="shared" si="6"/>
        <v>-4.3783376936876832E-2</v>
      </c>
    </row>
  </sheetData>
  <mergeCells count="4">
    <mergeCell ref="I7:J9"/>
    <mergeCell ref="B12:B16"/>
    <mergeCell ref="B21:F21"/>
    <mergeCell ref="F7:G9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M46"/>
  <sheetViews>
    <sheetView workbookViewId="0">
      <selection activeCell="K11" sqref="K11"/>
    </sheetView>
  </sheetViews>
  <sheetFormatPr baseColWidth="10" defaultRowHeight="15" x14ac:dyDescent="0.25"/>
  <sheetData>
    <row r="1" spans="1:11" s="36" customFormat="1" x14ac:dyDescent="0.25"/>
    <row r="2" spans="1:11" x14ac:dyDescent="0.25">
      <c r="A2" s="4" t="s">
        <v>1</v>
      </c>
    </row>
    <row r="3" spans="1:11" x14ac:dyDescent="0.25">
      <c r="B3" s="31" t="s">
        <v>150</v>
      </c>
      <c r="C3" s="1">
        <v>98</v>
      </c>
      <c r="F3" s="1" t="s">
        <v>155</v>
      </c>
      <c r="G3" s="1">
        <v>0.02</v>
      </c>
      <c r="J3" s="1" t="s">
        <v>159</v>
      </c>
      <c r="K3" s="1">
        <f>3*360/4</f>
        <v>270</v>
      </c>
    </row>
    <row r="4" spans="1:11" x14ac:dyDescent="0.25">
      <c r="B4" s="18" t="s">
        <v>151</v>
      </c>
      <c r="C4" s="2">
        <v>99</v>
      </c>
      <c r="F4" s="2" t="s">
        <v>156</v>
      </c>
      <c r="G4" s="2">
        <v>100</v>
      </c>
      <c r="J4" s="2" t="s">
        <v>50</v>
      </c>
      <c r="K4" s="41">
        <f>3/4</f>
        <v>0.75</v>
      </c>
    </row>
    <row r="5" spans="1:11" x14ac:dyDescent="0.25">
      <c r="B5" s="18" t="s">
        <v>152</v>
      </c>
      <c r="C5" s="2">
        <v>100</v>
      </c>
      <c r="F5" s="3" t="s">
        <v>157</v>
      </c>
      <c r="G5" s="3">
        <v>0.15</v>
      </c>
      <c r="J5" s="2" t="s">
        <v>166</v>
      </c>
      <c r="K5" s="42" t="s">
        <v>168</v>
      </c>
    </row>
    <row r="6" spans="1:11" x14ac:dyDescent="0.25">
      <c r="B6" s="18" t="s">
        <v>153</v>
      </c>
      <c r="C6" s="2">
        <v>101</v>
      </c>
      <c r="J6" s="2" t="s">
        <v>155</v>
      </c>
      <c r="K6" s="2">
        <v>2.5000000000000001E-2</v>
      </c>
    </row>
    <row r="7" spans="1:11" x14ac:dyDescent="0.25">
      <c r="B7" s="20" t="s">
        <v>154</v>
      </c>
      <c r="C7" s="3">
        <v>102</v>
      </c>
      <c r="J7" s="2" t="s">
        <v>48</v>
      </c>
      <c r="K7" s="2">
        <v>0.05</v>
      </c>
    </row>
    <row r="8" spans="1:11" x14ac:dyDescent="0.25">
      <c r="J8" s="3" t="s">
        <v>167</v>
      </c>
      <c r="K8" s="3">
        <v>0.5</v>
      </c>
    </row>
    <row r="10" spans="1:11" x14ac:dyDescent="0.25">
      <c r="C10" s="6" t="s">
        <v>169</v>
      </c>
    </row>
    <row r="11" spans="1:11" x14ac:dyDescent="0.25">
      <c r="B11" s="1" t="s">
        <v>150</v>
      </c>
      <c r="C11" s="1">
        <f>BandSput($G$3, $K$4, C3, $K$4, $G$5, $G$4)</f>
        <v>3.5119011298796394</v>
      </c>
      <c r="H11" s="6" t="s">
        <v>160</v>
      </c>
      <c r="J11" s="6" t="s">
        <v>161</v>
      </c>
      <c r="K11" s="6" t="s">
        <v>171</v>
      </c>
    </row>
    <row r="12" spans="1:11" x14ac:dyDescent="0.25">
      <c r="B12" s="2" t="s">
        <v>151</v>
      </c>
      <c r="C12" s="2">
        <f>BandSput($G$3, $K$4, C4, $K$3, $G$5, $G$4)</f>
        <v>3.9386104762116148</v>
      </c>
      <c r="G12" s="31">
        <v>-1</v>
      </c>
      <c r="H12" s="2">
        <f>pay_off(G12, BandSput($G$3, $K$4, C5, $K$3, $G$5, $G$4),-1)</f>
        <v>5.3958167181451273</v>
      </c>
      <c r="J12" s="2">
        <f>Ito($G$3, $K$4, C5, $K$3, G12, $G$5)</f>
        <v>269.98939339828217</v>
      </c>
      <c r="K12" s="2">
        <f>pay_off(G12, J12, -1)</f>
        <v>270.98939339828217</v>
      </c>
    </row>
    <row r="13" spans="1:11" x14ac:dyDescent="0.25">
      <c r="B13" s="2" t="s">
        <v>152</v>
      </c>
      <c r="C13" s="2">
        <f>BandSput($G$3, $K$4, C5, $K$3, $G$5, $G$4)</f>
        <v>4.3958167181451273</v>
      </c>
      <c r="G13" s="18">
        <v>-0.75</v>
      </c>
      <c r="H13" s="2">
        <f>pay_off(G13, BandSput($G$3, $K$4, C6, $K$3, $G$5, $G$4),-1)</f>
        <v>5.6334257465103832</v>
      </c>
      <c r="J13" s="2">
        <f>Ito($G$3, $K$4, C6, $K$3, G13, $G$5)</f>
        <v>269.99208452762178</v>
      </c>
      <c r="K13" s="2">
        <f t="shared" ref="K13:K22" si="0">pay_off(G13, J13, -1)</f>
        <v>270.74208452762178</v>
      </c>
    </row>
    <row r="14" spans="1:11" x14ac:dyDescent="0.25">
      <c r="B14" s="2" t="s">
        <v>153</v>
      </c>
      <c r="C14" s="2">
        <f>BandSput($G$3, $K$4, C6, $K$3, $G$5, $G$4)</f>
        <v>4.8834257465103832</v>
      </c>
      <c r="G14" s="18">
        <v>-0.5</v>
      </c>
      <c r="H14" s="2">
        <f>pay_off(G14, BandSput($G$3, $K$4, C7, $K$3, $G$5, $G$4),-1)</f>
        <v>5.9011642640768045</v>
      </c>
      <c r="J14" s="2">
        <f>Ito($G$3, $K$4, C7, $K$3, G14, $G$5)</f>
        <v>269.99474894968489</v>
      </c>
      <c r="K14" s="2">
        <f t="shared" si="0"/>
        <v>270.49474894968489</v>
      </c>
    </row>
    <row r="15" spans="1:11" x14ac:dyDescent="0.25">
      <c r="B15" s="3" t="s">
        <v>154</v>
      </c>
      <c r="C15" s="3">
        <f>BandSput($G$3, $K$4, C7, $K$3, $G$5, $G$4)</f>
        <v>5.4011642640768045</v>
      </c>
      <c r="G15" s="18">
        <v>-0.25</v>
      </c>
      <c r="H15" s="42" t="s">
        <v>170</v>
      </c>
      <c r="J15" s="42" t="s">
        <v>170</v>
      </c>
      <c r="K15" s="42" t="s">
        <v>170</v>
      </c>
    </row>
    <row r="16" spans="1:11" x14ac:dyDescent="0.25">
      <c r="G16" s="18">
        <v>-0.1</v>
      </c>
      <c r="H16" s="2">
        <f>pay_off(G16, BandSput($G$3, $K$4, K4, $K$3, $G$5, $G$4),-1)</f>
        <v>0.1</v>
      </c>
      <c r="J16" s="2">
        <f>Ito($G$3, $K$4, K4, $K$3, G16, $G$5)</f>
        <v>116.15996808322461</v>
      </c>
      <c r="K16" s="2">
        <f t="shared" si="0"/>
        <v>116.25996808322461</v>
      </c>
    </row>
    <row r="17" spans="1:13" x14ac:dyDescent="0.25">
      <c r="G17" s="18">
        <v>0</v>
      </c>
      <c r="H17" s="42" t="s">
        <v>170</v>
      </c>
      <c r="J17" s="42" t="s">
        <v>170</v>
      </c>
      <c r="K17" s="42" t="s">
        <v>170</v>
      </c>
    </row>
    <row r="18" spans="1:13" x14ac:dyDescent="0.25">
      <c r="B18" t="s">
        <v>158</v>
      </c>
      <c r="G18" s="18">
        <v>0.1</v>
      </c>
      <c r="H18" s="2">
        <f>pay_off(G18, BandSput($G$3, $K$4, C11, $K$3, $G$5, $G$4),-1)</f>
        <v>0</v>
      </c>
      <c r="J18" s="2">
        <f>Ito($G$3, $K$4, C11, $K$3, G18, $G$5)</f>
        <v>250.6221482303219</v>
      </c>
      <c r="K18" s="2">
        <f t="shared" si="0"/>
        <v>250.5221482303219</v>
      </c>
    </row>
    <row r="19" spans="1:13" x14ac:dyDescent="0.25">
      <c r="B19" t="s">
        <v>162</v>
      </c>
      <c r="G19" s="18">
        <v>0.25</v>
      </c>
      <c r="H19" s="2">
        <f>pay_off(G19, BandSput($G$3, $K$4, C12, $K$3, $G$5, $G$4),-1)</f>
        <v>0</v>
      </c>
      <c r="J19" s="2">
        <f>Ito($G$3, $K$4, C12, $K$3, G19, $G$5)</f>
        <v>255.93848585546971</v>
      </c>
      <c r="K19" s="2">
        <f t="shared" si="0"/>
        <v>255.68848585546971</v>
      </c>
    </row>
    <row r="20" spans="1:13" x14ac:dyDescent="0.25">
      <c r="B20" t="s">
        <v>165</v>
      </c>
      <c r="G20" s="18">
        <v>0.5</v>
      </c>
      <c r="H20" s="2">
        <f>pay_off(G20, BandSput($G$3, $K$4, C13, $K$3, $G$5, $G$4),-1)</f>
        <v>0</v>
      </c>
      <c r="J20" s="2">
        <f>Ito($G$3, $K$4, C13, $K$3, G20, $G$5)</f>
        <v>260.03626865206945</v>
      </c>
      <c r="K20" s="2">
        <f t="shared" si="0"/>
        <v>259.53626865206945</v>
      </c>
    </row>
    <row r="21" spans="1:13" x14ac:dyDescent="0.25">
      <c r="G21" s="18">
        <v>0.75</v>
      </c>
      <c r="H21" s="2">
        <f>pay_off(G21, BandSput($G$3, $K$4, C14, $K$3, $G$5, $G$4),-1)</f>
        <v>0</v>
      </c>
      <c r="J21" s="2">
        <f>Ito($G$3, $K$4, C14, $K$3, G21, $G$5)</f>
        <v>263.10654885709755</v>
      </c>
      <c r="K21" s="2">
        <f t="shared" si="0"/>
        <v>262.35654885709755</v>
      </c>
    </row>
    <row r="22" spans="1:13" x14ac:dyDescent="0.25">
      <c r="G22" s="20">
        <v>1</v>
      </c>
      <c r="H22" s="3">
        <f>pay_off(G22, BandSput($G$3, $K$4, C15, $K$3, $G$5, $G$4),-1)</f>
        <v>0</v>
      </c>
      <c r="J22" s="3">
        <f>Ito($G$3, $K$4, C15, $K$3, G22, $G$5)</f>
        <v>265.34604446924698</v>
      </c>
      <c r="K22" s="3">
        <f t="shared" si="0"/>
        <v>264.34604446924698</v>
      </c>
    </row>
    <row r="23" spans="1:13" s="36" customFormat="1" x14ac:dyDescent="0.25"/>
    <row r="24" spans="1:13" x14ac:dyDescent="0.25">
      <c r="A24" s="4" t="s">
        <v>23</v>
      </c>
    </row>
    <row r="25" spans="1:13" x14ac:dyDescent="0.25">
      <c r="C25" s="35" t="s">
        <v>63</v>
      </c>
      <c r="D25" s="35">
        <v>1</v>
      </c>
      <c r="E25" s="35">
        <v>2</v>
      </c>
      <c r="F25" s="35">
        <v>3</v>
      </c>
      <c r="G25" s="35">
        <v>4</v>
      </c>
      <c r="H25" s="35">
        <v>5</v>
      </c>
      <c r="I25" s="36">
        <v>6</v>
      </c>
      <c r="J25" s="36">
        <v>7</v>
      </c>
      <c r="K25" s="36">
        <v>8</v>
      </c>
      <c r="L25" s="36">
        <v>9</v>
      </c>
      <c r="M25" s="36">
        <v>10</v>
      </c>
    </row>
    <row r="26" spans="1:13" x14ac:dyDescent="0.25">
      <c r="M26" s="28">
        <f>L27*$D$28</f>
        <v>366.57688889311527</v>
      </c>
    </row>
    <row r="27" spans="1:13" x14ac:dyDescent="0.25">
      <c r="L27" s="28">
        <f>K28*$D$28</f>
        <v>321.92045507472744</v>
      </c>
    </row>
    <row r="28" spans="1:13" x14ac:dyDescent="0.25">
      <c r="B28" s="35"/>
      <c r="C28" s="6" t="s">
        <v>163</v>
      </c>
      <c r="D28" s="6">
        <f>EXP($G$5*_xludf.sqrt($K$4))</f>
        <v>1.1387188453371866</v>
      </c>
      <c r="E28" s="35"/>
      <c r="F28" s="35"/>
      <c r="G28" s="35"/>
      <c r="H28" s="35"/>
      <c r="I28" s="35"/>
      <c r="K28" s="28">
        <f>J29*$D$28</f>
        <v>282.70407255743925</v>
      </c>
      <c r="M28" s="28">
        <f>L29*$D$28</f>
        <v>282.7040725574393</v>
      </c>
    </row>
    <row r="29" spans="1:13" x14ac:dyDescent="0.25">
      <c r="B29" s="35"/>
      <c r="C29" s="6" t="s">
        <v>164</v>
      </c>
      <c r="D29" s="6">
        <f>1/D28</f>
        <v>0.87817989848397526</v>
      </c>
      <c r="I29" s="35"/>
      <c r="J29" s="28">
        <f>I30*$D$28</f>
        <v>248.26503373949836</v>
      </c>
      <c r="L29" s="28">
        <f>K30*$D$28</f>
        <v>248.26503373949842</v>
      </c>
    </row>
    <row r="30" spans="1:13" x14ac:dyDescent="0.25">
      <c r="C30" s="35"/>
      <c r="D30" s="35"/>
      <c r="E30" s="35"/>
      <c r="F30" s="35"/>
      <c r="G30" s="35"/>
      <c r="H30" s="35"/>
      <c r="I30" s="28">
        <f>H31*$D$28</f>
        <v>218.02136212647335</v>
      </c>
      <c r="K30" s="28">
        <f>J31*$D$28</f>
        <v>218.02136212647341</v>
      </c>
      <c r="M30" s="28">
        <f>L31*$D$28</f>
        <v>218.02136212647341</v>
      </c>
    </row>
    <row r="31" spans="1:13" x14ac:dyDescent="0.25">
      <c r="C31" s="35"/>
      <c r="D31" s="35"/>
      <c r="E31" s="35"/>
      <c r="F31" s="35"/>
      <c r="G31" s="35"/>
      <c r="H31" s="28">
        <f>G32*$D$28</f>
        <v>191.46197765956435</v>
      </c>
      <c r="I31" s="35"/>
      <c r="J31" s="28">
        <f>I32*$D$28</f>
        <v>191.46197765956441</v>
      </c>
      <c r="L31" s="28">
        <f>K32*$D$28</f>
        <v>191.46197765956441</v>
      </c>
    </row>
    <row r="32" spans="1:13" x14ac:dyDescent="0.25">
      <c r="C32" s="35"/>
      <c r="D32" s="35"/>
      <c r="E32" s="35"/>
      <c r="F32" s="35"/>
      <c r="G32" s="28">
        <f>F33*$D$28</f>
        <v>168.13806010461735</v>
      </c>
      <c r="H32" s="19"/>
      <c r="I32" s="28">
        <f>H33*$D$28</f>
        <v>168.13806010461741</v>
      </c>
      <c r="K32" s="28">
        <f>J33*$D$28</f>
        <v>168.13806010461741</v>
      </c>
      <c r="M32" s="28">
        <f>L33*$D$28</f>
        <v>168.13806010461741</v>
      </c>
    </row>
    <row r="33" spans="2:13" x14ac:dyDescent="0.25">
      <c r="B33" s="35"/>
      <c r="C33" s="35"/>
      <c r="D33" s="35"/>
      <c r="E33" s="35"/>
      <c r="F33" s="28">
        <f>E34*$D$28</f>
        <v>147.6554645539654</v>
      </c>
      <c r="G33" s="20"/>
      <c r="H33" s="28">
        <f>G34*$D$28</f>
        <v>147.65546455396543</v>
      </c>
      <c r="I33" s="35"/>
      <c r="J33" s="28">
        <f>I34*$D$28</f>
        <v>147.65546455396543</v>
      </c>
      <c r="L33" s="28">
        <f>K34*$D$28</f>
        <v>147.65546455396543</v>
      </c>
    </row>
    <row r="34" spans="2:13" x14ac:dyDescent="0.25">
      <c r="B34" s="35"/>
      <c r="C34" s="35"/>
      <c r="D34" s="35"/>
      <c r="E34" s="28">
        <f>D35*$D$28</f>
        <v>129.66806087260554</v>
      </c>
      <c r="F34" s="15"/>
      <c r="G34" s="28">
        <f>F35*$D$28</f>
        <v>129.66806087260557</v>
      </c>
      <c r="H34" s="19"/>
      <c r="I34" s="28">
        <f>H35*$D$28</f>
        <v>129.66806087260557</v>
      </c>
      <c r="K34" s="28">
        <f>J35*$D$28</f>
        <v>129.66806087260557</v>
      </c>
      <c r="M34" s="28">
        <f>L35*$D$28</f>
        <v>129.66806087260557</v>
      </c>
    </row>
    <row r="35" spans="2:13" x14ac:dyDescent="0.25">
      <c r="B35" s="35"/>
      <c r="C35" s="35"/>
      <c r="D35" s="28">
        <f>C36*D28</f>
        <v>113.87188453371866</v>
      </c>
      <c r="E35" s="15"/>
      <c r="F35" s="28">
        <f>E36*$D$28</f>
        <v>113.87188453371867</v>
      </c>
      <c r="G35" s="20"/>
      <c r="H35" s="28">
        <f>G36*$D$28</f>
        <v>113.87188453371867</v>
      </c>
      <c r="I35" s="35"/>
      <c r="J35" s="28">
        <f>I36*$D$28</f>
        <v>113.87188453371868</v>
      </c>
      <c r="L35" s="28">
        <f>K36*$D$28</f>
        <v>113.87188453371868</v>
      </c>
    </row>
    <row r="36" spans="2:13" x14ac:dyDescent="0.25">
      <c r="B36" s="35"/>
      <c r="C36" s="28">
        <v>100</v>
      </c>
      <c r="D36" s="15"/>
      <c r="E36" s="28">
        <f>D37*$D$28</f>
        <v>100.00000000000001</v>
      </c>
      <c r="F36" s="15"/>
      <c r="G36" s="28">
        <f>F37*$D$28</f>
        <v>100.00000000000001</v>
      </c>
      <c r="H36" s="19"/>
      <c r="I36" s="28">
        <f>H37*$D$28</f>
        <v>100.00000000000003</v>
      </c>
      <c r="K36" s="28">
        <f>J37*$D$28</f>
        <v>100.00000000000003</v>
      </c>
      <c r="M36" s="28">
        <f>L37*$D$28</f>
        <v>100.00000000000004</v>
      </c>
    </row>
    <row r="37" spans="2:13" x14ac:dyDescent="0.25">
      <c r="B37" s="35"/>
      <c r="C37" s="35"/>
      <c r="D37" s="28">
        <f>C36*$D$29</f>
        <v>87.817989848397531</v>
      </c>
      <c r="E37" s="15"/>
      <c r="F37" s="28">
        <f>E38*$D$28</f>
        <v>87.817989848397531</v>
      </c>
      <c r="G37" s="20"/>
      <c r="H37" s="28">
        <f>G38*$D$28</f>
        <v>87.817989848397545</v>
      </c>
      <c r="I37" s="35"/>
      <c r="J37" s="28">
        <f>I38*$D$28</f>
        <v>87.817989848397545</v>
      </c>
      <c r="L37" s="28">
        <f>K38*$D$28</f>
        <v>87.817989848397559</v>
      </c>
    </row>
    <row r="38" spans="2:13" x14ac:dyDescent="0.25">
      <c r="B38" s="35"/>
      <c r="C38" s="35"/>
      <c r="D38" s="35"/>
      <c r="E38" s="28">
        <f>D37*$D$29</f>
        <v>77.119993410132508</v>
      </c>
      <c r="F38" s="15"/>
      <c r="G38" s="28">
        <f>F39*$D$28</f>
        <v>77.119993410132523</v>
      </c>
      <c r="H38" s="19"/>
      <c r="I38" s="28">
        <f>H39*$D$28</f>
        <v>77.119993410132523</v>
      </c>
      <c r="K38" s="28">
        <f>J39*$D$28</f>
        <v>77.119993410132537</v>
      </c>
      <c r="M38" s="28">
        <f>L39*$D$28</f>
        <v>77.119993410132537</v>
      </c>
    </row>
    <row r="39" spans="2:13" x14ac:dyDescent="0.25">
      <c r="B39" s="35"/>
      <c r="C39" s="35"/>
      <c r="D39" s="35"/>
      <c r="E39" s="35"/>
      <c r="F39" s="28">
        <f>E38*$D$29</f>
        <v>67.725227983995012</v>
      </c>
      <c r="G39" s="20"/>
      <c r="H39" s="28">
        <f>G40*$D$28</f>
        <v>67.725227983995012</v>
      </c>
      <c r="I39" s="35"/>
      <c r="J39" s="28">
        <f>I40*$D$28</f>
        <v>67.725227983995026</v>
      </c>
      <c r="L39" s="28">
        <f>K40*$D$28</f>
        <v>67.725227983995026</v>
      </c>
    </row>
    <row r="40" spans="2:13" x14ac:dyDescent="0.25">
      <c r="B40" s="35"/>
      <c r="C40" s="35"/>
      <c r="D40" s="35"/>
      <c r="E40" s="35"/>
      <c r="F40" s="35"/>
      <c r="G40" s="27">
        <f>F39*$D$29</f>
        <v>59.474933835788818</v>
      </c>
      <c r="H40" s="19"/>
      <c r="I40" s="28">
        <f>H41*$D$28</f>
        <v>59.474933835788825</v>
      </c>
      <c r="K40" s="28">
        <f>J41*$D$28</f>
        <v>59.474933835788825</v>
      </c>
      <c r="M40" s="28">
        <f>L41*$D$28</f>
        <v>59.474933835788825</v>
      </c>
    </row>
    <row r="41" spans="2:13" x14ac:dyDescent="0.25">
      <c r="B41" s="35"/>
      <c r="C41" s="35"/>
      <c r="D41" s="35"/>
      <c r="E41" s="35"/>
      <c r="F41" s="35"/>
      <c r="G41" s="35"/>
      <c r="H41" s="27">
        <f>G40*$D$29</f>
        <v>52.229691358254172</v>
      </c>
      <c r="I41" s="35"/>
      <c r="J41" s="28">
        <f>I42*$D$28</f>
        <v>52.229691358254172</v>
      </c>
      <c r="L41" s="28">
        <f>K42*$D$28</f>
        <v>52.229691358254172</v>
      </c>
    </row>
    <row r="42" spans="2:13" x14ac:dyDescent="0.25">
      <c r="B42" s="35"/>
      <c r="C42" s="35"/>
      <c r="D42" s="35"/>
      <c r="E42" s="35"/>
      <c r="F42" s="35"/>
      <c r="G42" s="35"/>
      <c r="H42" s="35"/>
      <c r="I42" s="27">
        <f>H41*$D$29</f>
        <v>45.867065054841007</v>
      </c>
      <c r="K42" s="28">
        <f>J43*$D$28</f>
        <v>45.867065054841007</v>
      </c>
      <c r="M42" s="28">
        <f>L43*$D$28</f>
        <v>45.867065054841007</v>
      </c>
    </row>
    <row r="43" spans="2:13" x14ac:dyDescent="0.25">
      <c r="J43" s="27">
        <f>I42*$D$29</f>
        <v>40.279534533618161</v>
      </c>
      <c r="L43" s="28">
        <f>K44*$D$28</f>
        <v>40.279534533618161</v>
      </c>
    </row>
    <row r="44" spans="2:13" x14ac:dyDescent="0.25">
      <c r="K44" s="27">
        <f>J43*$D$29</f>
        <v>35.372677547714574</v>
      </c>
      <c r="M44" s="28">
        <f>L45*$D$28</f>
        <v>35.372677547714574</v>
      </c>
    </row>
    <row r="45" spans="2:13" x14ac:dyDescent="0.25">
      <c r="L45" s="27">
        <f>K44*$D$29</f>
        <v>31.063574377958375</v>
      </c>
    </row>
    <row r="46" spans="2:13" x14ac:dyDescent="0.25">
      <c r="M46" s="27">
        <f>L45*$D$29</f>
        <v>27.279406593784902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22Sept</vt:lpstr>
      <vt:lpstr>Test1</vt:lpstr>
      <vt:lpstr>Test2</vt:lpstr>
      <vt:lpstr>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2018-02-21T10:22:11Z</dcterms:modified>
</cp:coreProperties>
</file>